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sebgo\Documents\Projects\aom_tech_tree_app\"/>
    </mc:Choice>
  </mc:AlternateContent>
  <xr:revisionPtr revIDLastSave="0" documentId="8_{13407A7E-B211-4C62-8F8A-3E28B1556DE4}" xr6:coauthVersionLast="47" xr6:coauthVersionMax="47" xr10:uidLastSave="{00000000-0000-0000-0000-000000000000}"/>
  <bookViews>
    <workbookView xWindow="-110" yWindow="-110" windowWidth="38620" windowHeight="21100" activeTab="1" xr2:uid="{9E6DA8E9-EC2D-4559-BFB7-75B14879D2C7}"/>
  </bookViews>
  <sheets>
    <sheet name="Fundamentals" sheetId="1" r:id="rId1"/>
    <sheet name="Units" sheetId="8" r:id="rId2"/>
    <sheet name="Unit Tester" sheetId="26" r:id="rId3"/>
    <sheet name="Upgrades" sheetId="9" r:id="rId4"/>
    <sheet name="Zeus" sheetId="2" r:id="rId5"/>
    <sheet name="Hades" sheetId="3" r:id="rId6"/>
    <sheet name="Poseidon" sheetId="5" r:id="rId7"/>
    <sheet name="Set" sheetId="11" r:id="rId8"/>
    <sheet name="Isis" sheetId="12" r:id="rId9"/>
    <sheet name="Ra" sheetId="13" r:id="rId10"/>
    <sheet name="Thor" sheetId="14" r:id="rId11"/>
    <sheet name="Odin" sheetId="15" r:id="rId12"/>
    <sheet name="Loki" sheetId="16" r:id="rId13"/>
    <sheet name="Freyr" sheetId="27" r:id="rId14"/>
    <sheet name="Kronos" sheetId="19" r:id="rId15"/>
    <sheet name="Oranos" sheetId="17" r:id="rId16"/>
    <sheet name="Gaia" sheetId="20" r:id="rId17"/>
    <sheet name="Infantry Tier List" sheetId="25" state="hidden" r:id="rId18"/>
    <sheet name="Ranged Tier List" sheetId="23" state="hidden" r:id="rId19"/>
    <sheet name="Cav Tier List" sheetId="22" state="hidden" r:id="rId20"/>
    <sheet name="TC Timing" sheetId="6" state="hidden" r:id="rId21"/>
    <sheet name="Calculations" sheetId="4" state="hidden" r:id="rId22"/>
  </sheets>
  <definedNames>
    <definedName name="_xlnm._FilterDatabase" localSheetId="1" hidden="1">Units!$C$1:$C$453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8" i="8" l="1"/>
  <c r="M143" i="8"/>
  <c r="M139" i="8"/>
  <c r="M136" i="8"/>
  <c r="M130" i="8"/>
  <c r="M120" i="8"/>
  <c r="M118" i="8"/>
  <c r="M108" i="8"/>
  <c r="M66" i="8"/>
  <c r="M63" i="8"/>
  <c r="M36" i="8"/>
  <c r="M35" i="8"/>
  <c r="M9" i="8"/>
  <c r="B2" i="26"/>
  <c r="D2" i="26" s="1"/>
  <c r="B4" i="26"/>
  <c r="D4" i="26" s="1"/>
  <c r="B8" i="26"/>
  <c r="D8" i="26" s="1"/>
  <c r="B3" i="26"/>
  <c r="D3" i="26" s="1"/>
  <c r="B9" i="26"/>
  <c r="D9" i="26" s="1"/>
  <c r="B7" i="26"/>
  <c r="D7" i="26" s="1"/>
  <c r="H10" i="8"/>
  <c r="AD10" i="8" s="1"/>
  <c r="H167" i="8"/>
  <c r="AD167" i="8" s="1"/>
  <c r="H166" i="8"/>
  <c r="AD166" i="8" s="1"/>
  <c r="H165" i="8"/>
  <c r="AD165" i="8" s="1"/>
  <c r="H164" i="8"/>
  <c r="AD164" i="8" s="1"/>
  <c r="H163" i="8"/>
  <c r="H162" i="8"/>
  <c r="AD162" i="8" s="1"/>
  <c r="H161" i="8"/>
  <c r="AD161" i="8" s="1"/>
  <c r="H160" i="8"/>
  <c r="AD160" i="8" s="1"/>
  <c r="H159" i="8"/>
  <c r="AD159" i="8" s="1"/>
  <c r="H158" i="8"/>
  <c r="AD158" i="8" s="1"/>
  <c r="H157" i="8"/>
  <c r="AD157" i="8" s="1"/>
  <c r="H156" i="8"/>
  <c r="AD156" i="8" s="1"/>
  <c r="H155" i="8"/>
  <c r="AD155" i="8" s="1"/>
  <c r="H154" i="8"/>
  <c r="AD154" i="8" s="1"/>
  <c r="H153" i="8"/>
  <c r="H152" i="8"/>
  <c r="AD152" i="8" s="1"/>
  <c r="H151" i="8"/>
  <c r="AG151" i="8" s="1"/>
  <c r="H150" i="8"/>
  <c r="AD150" i="8" s="1"/>
  <c r="H149" i="8"/>
  <c r="AD149" i="8" s="1"/>
  <c r="H148" i="8"/>
  <c r="AD148" i="8" s="1"/>
  <c r="H147" i="8"/>
  <c r="AD147" i="8" s="1"/>
  <c r="H146" i="8"/>
  <c r="AG146" i="8" s="1"/>
  <c r="H145" i="8"/>
  <c r="AD145" i="8" s="1"/>
  <c r="H144" i="8"/>
  <c r="AD144" i="8" s="1"/>
  <c r="H143" i="8"/>
  <c r="AD143" i="8" s="1"/>
  <c r="H142" i="8"/>
  <c r="AD142" i="8" s="1"/>
  <c r="H141" i="8"/>
  <c r="AD141" i="8" s="1"/>
  <c r="H140" i="8"/>
  <c r="AD140" i="8" s="1"/>
  <c r="H139" i="8"/>
  <c r="H138" i="8"/>
  <c r="AD138" i="8" s="1"/>
  <c r="H137" i="8"/>
  <c r="H136" i="8"/>
  <c r="AD136" i="8" s="1"/>
  <c r="H135" i="8"/>
  <c r="H134" i="8"/>
  <c r="AD134" i="8" s="1"/>
  <c r="H133" i="8"/>
  <c r="AD133" i="8" s="1"/>
  <c r="H132" i="8"/>
  <c r="H131" i="8"/>
  <c r="H130" i="8"/>
  <c r="AD130" i="8" s="1"/>
  <c r="H129" i="8"/>
  <c r="AD129" i="8" s="1"/>
  <c r="H128" i="8"/>
  <c r="AD128" i="8" s="1"/>
  <c r="H127" i="8"/>
  <c r="AD127" i="8" s="1"/>
  <c r="H126" i="8"/>
  <c r="AD126" i="8" s="1"/>
  <c r="H125" i="8"/>
  <c r="AD125" i="8" s="1"/>
  <c r="H124" i="8"/>
  <c r="AD124" i="8" s="1"/>
  <c r="H123" i="8"/>
  <c r="AD123" i="8" s="1"/>
  <c r="H122" i="8"/>
  <c r="AD122" i="8" s="1"/>
  <c r="H121" i="8"/>
  <c r="AG121" i="8" s="1"/>
  <c r="H120" i="8"/>
  <c r="AD120" i="8" s="1"/>
  <c r="H119" i="8"/>
  <c r="AD119" i="8" s="1"/>
  <c r="H118" i="8"/>
  <c r="AD118" i="8" s="1"/>
  <c r="H117" i="8"/>
  <c r="AD117" i="8" s="1"/>
  <c r="H116" i="8"/>
  <c r="AD116" i="8" s="1"/>
  <c r="H115" i="8"/>
  <c r="H114" i="8"/>
  <c r="AD114" i="8" s="1"/>
  <c r="H113" i="8"/>
  <c r="AD113" i="8" s="1"/>
  <c r="H112" i="8"/>
  <c r="AD112" i="8" s="1"/>
  <c r="H111" i="8"/>
  <c r="H110" i="8"/>
  <c r="AG110" i="8" s="1"/>
  <c r="H109" i="8"/>
  <c r="AD109" i="8" s="1"/>
  <c r="H108" i="8"/>
  <c r="AD108" i="8" s="1"/>
  <c r="H107" i="8"/>
  <c r="H106" i="8"/>
  <c r="AD106" i="8" s="1"/>
  <c r="H105" i="8"/>
  <c r="AD105" i="8" s="1"/>
  <c r="H104" i="8"/>
  <c r="AD104" i="8" s="1"/>
  <c r="H103" i="8"/>
  <c r="AD103" i="8" s="1"/>
  <c r="H102" i="8"/>
  <c r="AD102" i="8" s="1"/>
  <c r="H101" i="8"/>
  <c r="AD101" i="8" s="1"/>
  <c r="H100" i="8"/>
  <c r="AD100" i="8" s="1"/>
  <c r="H99" i="8"/>
  <c r="AD99" i="8" s="1"/>
  <c r="H98" i="8"/>
  <c r="AD98" i="8" s="1"/>
  <c r="H97" i="8"/>
  <c r="AD97" i="8" s="1"/>
  <c r="H96" i="8"/>
  <c r="AD96" i="8" s="1"/>
  <c r="H95" i="8"/>
  <c r="AD95" i="8" s="1"/>
  <c r="H94" i="8"/>
  <c r="AD94" i="8" s="1"/>
  <c r="H93" i="8"/>
  <c r="AD93" i="8" s="1"/>
  <c r="H92" i="8"/>
  <c r="AD92" i="8" s="1"/>
  <c r="H91" i="8"/>
  <c r="H90" i="8"/>
  <c r="H89" i="8"/>
  <c r="H88" i="8"/>
  <c r="AD88" i="8" s="1"/>
  <c r="H87" i="8"/>
  <c r="AD87" i="8" s="1"/>
  <c r="H86" i="8"/>
  <c r="H85" i="8"/>
  <c r="AD85" i="8" s="1"/>
  <c r="H84" i="8"/>
  <c r="H83" i="8"/>
  <c r="AD83" i="8" s="1"/>
  <c r="H82" i="8"/>
  <c r="AG82" i="8" s="1"/>
  <c r="H81" i="8"/>
  <c r="AD81" i="8" s="1"/>
  <c r="H80" i="8"/>
  <c r="AD80" i="8" s="1"/>
  <c r="H79" i="8"/>
  <c r="AD79" i="8" s="1"/>
  <c r="H78" i="8"/>
  <c r="AD78" i="8" s="1"/>
  <c r="H77" i="8"/>
  <c r="AD77" i="8" s="1"/>
  <c r="H76" i="8"/>
  <c r="AD76" i="8" s="1"/>
  <c r="H75" i="8"/>
  <c r="AD75" i="8" s="1"/>
  <c r="H74" i="8"/>
  <c r="H73" i="8"/>
  <c r="AD73" i="8" s="1"/>
  <c r="H72" i="8"/>
  <c r="AD72" i="8" s="1"/>
  <c r="H71" i="8"/>
  <c r="AD71" i="8" s="1"/>
  <c r="H70" i="8"/>
  <c r="AD70" i="8" s="1"/>
  <c r="H69" i="8"/>
  <c r="H68" i="8"/>
  <c r="AD68" i="8" s="1"/>
  <c r="H67" i="8"/>
  <c r="H66" i="8"/>
  <c r="AD66" i="8" s="1"/>
  <c r="H65" i="8"/>
  <c r="H64" i="8"/>
  <c r="AD64" i="8" s="1"/>
  <c r="H63" i="8"/>
  <c r="AD63" i="8" s="1"/>
  <c r="H62" i="8"/>
  <c r="H61" i="8"/>
  <c r="AD61" i="8" s="1"/>
  <c r="H60" i="8"/>
  <c r="H59" i="8"/>
  <c r="AD59" i="8" s="1"/>
  <c r="H58" i="8"/>
  <c r="AD58" i="8" s="1"/>
  <c r="H57" i="8"/>
  <c r="AD57" i="8" s="1"/>
  <c r="H56" i="8"/>
  <c r="AD56" i="8" s="1"/>
  <c r="H55" i="8"/>
  <c r="AD55" i="8" s="1"/>
  <c r="H54" i="8"/>
  <c r="AD54" i="8" s="1"/>
  <c r="H53" i="8"/>
  <c r="AD53" i="8" s="1"/>
  <c r="H52" i="8"/>
  <c r="AD52" i="8" s="1"/>
  <c r="H51" i="8"/>
  <c r="AD51" i="8" s="1"/>
  <c r="H50" i="8"/>
  <c r="AD50" i="8" s="1"/>
  <c r="H49" i="8"/>
  <c r="AD49" i="8" s="1"/>
  <c r="H48" i="8"/>
  <c r="AD48" i="8" s="1"/>
  <c r="H47" i="8"/>
  <c r="AD47" i="8" s="1"/>
  <c r="H46" i="8"/>
  <c r="AD46" i="8" s="1"/>
  <c r="H45" i="8"/>
  <c r="AD45" i="8" s="1"/>
  <c r="H44" i="8"/>
  <c r="AG44" i="8" s="1"/>
  <c r="H43" i="8"/>
  <c r="H42" i="8"/>
  <c r="AD42" i="8" s="1"/>
  <c r="H41" i="8"/>
  <c r="AD41" i="8" s="1"/>
  <c r="H40" i="8"/>
  <c r="AD40" i="8" s="1"/>
  <c r="H39" i="8"/>
  <c r="H38" i="8"/>
  <c r="AD38" i="8" s="1"/>
  <c r="H37" i="8"/>
  <c r="AD37" i="8" s="1"/>
  <c r="H36" i="8"/>
  <c r="H35" i="8"/>
  <c r="AD35" i="8" s="1"/>
  <c r="H34" i="8"/>
  <c r="AD34" i="8" s="1"/>
  <c r="H33" i="8"/>
  <c r="AD33" i="8" s="1"/>
  <c r="H32" i="8"/>
  <c r="AD32" i="8" s="1"/>
  <c r="H31" i="8"/>
  <c r="AD31" i="8" s="1"/>
  <c r="H30" i="8"/>
  <c r="AD30" i="8" s="1"/>
  <c r="H29" i="8"/>
  <c r="AD29" i="8" s="1"/>
  <c r="H28" i="8"/>
  <c r="AD28" i="8" s="1"/>
  <c r="H27" i="8"/>
  <c r="AD27" i="8" s="1"/>
  <c r="H26" i="8"/>
  <c r="AD26" i="8" s="1"/>
  <c r="H25" i="8"/>
  <c r="AD25" i="8" s="1"/>
  <c r="H24" i="8"/>
  <c r="AD24" i="8" s="1"/>
  <c r="H23" i="8"/>
  <c r="AD23" i="8" s="1"/>
  <c r="H22" i="8"/>
  <c r="AD22" i="8" s="1"/>
  <c r="H21" i="8"/>
  <c r="AD21" i="8" s="1"/>
  <c r="H20" i="8"/>
  <c r="AD20" i="8" s="1"/>
  <c r="H19" i="8"/>
  <c r="H18" i="8"/>
  <c r="AD18" i="8" s="1"/>
  <c r="H17" i="8"/>
  <c r="H16" i="8"/>
  <c r="AD16" i="8" s="1"/>
  <c r="H15" i="8"/>
  <c r="H14" i="8"/>
  <c r="AD14" i="8" s="1"/>
  <c r="H13" i="8"/>
  <c r="AD13" i="8" s="1"/>
  <c r="H12" i="8"/>
  <c r="H11" i="8"/>
  <c r="AD11" i="8" s="1"/>
  <c r="H9" i="8"/>
  <c r="AD9" i="8" s="1"/>
  <c r="H8" i="8"/>
  <c r="AD8" i="8" s="1"/>
  <c r="H7" i="8"/>
  <c r="AD7" i="8" s="1"/>
  <c r="H6" i="8"/>
  <c r="AD6" i="8" s="1"/>
  <c r="H5" i="8"/>
  <c r="H4" i="8"/>
  <c r="AD4" i="8" s="1"/>
  <c r="AG131" i="8"/>
  <c r="H168" i="8"/>
  <c r="AD168" i="8" s="1"/>
  <c r="AA41" i="8"/>
  <c r="AE41" i="8"/>
  <c r="P41" i="8"/>
  <c r="Z41" i="8" s="1"/>
  <c r="J31" i="8"/>
  <c r="J24" i="8"/>
  <c r="J20" i="8"/>
  <c r="J17" i="8"/>
  <c r="J15" i="8"/>
  <c r="J13" i="8"/>
  <c r="AE74" i="8"/>
  <c r="AA74" i="8"/>
  <c r="P74" i="8"/>
  <c r="Z74" i="8" s="1"/>
  <c r="L148" i="8"/>
  <c r="K12" i="25"/>
  <c r="D12" i="25"/>
  <c r="K11" i="25"/>
  <c r="D11" i="25"/>
  <c r="H14" i="25"/>
  <c r="H13" i="25"/>
  <c r="F14" i="25"/>
  <c r="F13" i="25"/>
  <c r="M12" i="8"/>
  <c r="P92" i="8"/>
  <c r="Z92" i="8" s="1"/>
  <c r="AA92" i="8"/>
  <c r="AE92" i="8"/>
  <c r="P140" i="8"/>
  <c r="Z140" i="8" s="1"/>
  <c r="AA140" i="8"/>
  <c r="AE140" i="8"/>
  <c r="P141" i="8"/>
  <c r="Z141" i="8" s="1"/>
  <c r="AA141" i="8"/>
  <c r="AE141" i="8"/>
  <c r="P85" i="8"/>
  <c r="Z85" i="8" s="1"/>
  <c r="AA85" i="8"/>
  <c r="AE85" i="8"/>
  <c r="P143" i="8"/>
  <c r="Z143" i="8" s="1"/>
  <c r="AA143" i="8"/>
  <c r="AE143" i="8"/>
  <c r="P144" i="8"/>
  <c r="Z144" i="8" s="1"/>
  <c r="AA144" i="8"/>
  <c r="AE144" i="8"/>
  <c r="P145" i="8"/>
  <c r="Z145" i="8" s="1"/>
  <c r="AA145" i="8"/>
  <c r="AE145" i="8"/>
  <c r="P146" i="8"/>
  <c r="Z146" i="8" s="1"/>
  <c r="AC146" i="8" s="1"/>
  <c r="AA146" i="8"/>
  <c r="AE146" i="8"/>
  <c r="P147" i="8"/>
  <c r="Z147" i="8" s="1"/>
  <c r="AA147" i="8"/>
  <c r="AE147" i="8"/>
  <c r="P148" i="8"/>
  <c r="Z148" i="8" s="1"/>
  <c r="AA148" i="8"/>
  <c r="AE148" i="8"/>
  <c r="P149" i="8"/>
  <c r="Z149" i="8" s="1"/>
  <c r="AC149" i="8" s="1"/>
  <c r="AA149" i="8"/>
  <c r="AE149" i="8"/>
  <c r="P150" i="8"/>
  <c r="Z150" i="8" s="1"/>
  <c r="AA150" i="8"/>
  <c r="AE150" i="8"/>
  <c r="P151" i="8"/>
  <c r="Z151" i="8" s="1"/>
  <c r="AA151" i="8"/>
  <c r="AE151" i="8"/>
  <c r="P152" i="8"/>
  <c r="Z152" i="8" s="1"/>
  <c r="AA152" i="8"/>
  <c r="AE152" i="8"/>
  <c r="P38" i="8"/>
  <c r="Z38" i="8" s="1"/>
  <c r="AA38" i="8"/>
  <c r="AE38" i="8"/>
  <c r="P116" i="8"/>
  <c r="Z116" i="8" s="1"/>
  <c r="AA116" i="8"/>
  <c r="AE116" i="8"/>
  <c r="P23" i="8"/>
  <c r="Z23" i="8" s="1"/>
  <c r="AA23" i="8"/>
  <c r="AE23" i="8"/>
  <c r="P156" i="8"/>
  <c r="Z156" i="8" s="1"/>
  <c r="AA156" i="8"/>
  <c r="AE156" i="8"/>
  <c r="P157" i="8"/>
  <c r="Z157" i="8" s="1"/>
  <c r="AA157" i="8"/>
  <c r="AE157" i="8"/>
  <c r="P158" i="8"/>
  <c r="Z158" i="8" s="1"/>
  <c r="AC158" i="8" s="1"/>
  <c r="AA158" i="8"/>
  <c r="AE158" i="8"/>
  <c r="P159" i="8"/>
  <c r="Z159" i="8" s="1"/>
  <c r="AA159" i="8"/>
  <c r="AE159" i="8"/>
  <c r="P160" i="8"/>
  <c r="Z160" i="8" s="1"/>
  <c r="AA160" i="8"/>
  <c r="AE160" i="8"/>
  <c r="P161" i="8"/>
  <c r="Z161" i="8" s="1"/>
  <c r="AA161" i="8"/>
  <c r="AE161" i="8"/>
  <c r="P162" i="8"/>
  <c r="Z162" i="8" s="1"/>
  <c r="AA162" i="8"/>
  <c r="AE162" i="8"/>
  <c r="P164" i="8"/>
  <c r="Z164" i="8" s="1"/>
  <c r="AA164" i="8"/>
  <c r="AE164" i="8"/>
  <c r="P165" i="8"/>
  <c r="Z165" i="8" s="1"/>
  <c r="AA165" i="8"/>
  <c r="AE165" i="8"/>
  <c r="P166" i="8"/>
  <c r="Z166" i="8" s="1"/>
  <c r="AA166" i="8"/>
  <c r="AE166" i="8"/>
  <c r="P167" i="8"/>
  <c r="Z167" i="8" s="1"/>
  <c r="AA167" i="8"/>
  <c r="AE167" i="8"/>
  <c r="P168" i="8"/>
  <c r="Z168" i="8" s="1"/>
  <c r="AA168" i="8"/>
  <c r="AE168" i="8"/>
  <c r="P117" i="8"/>
  <c r="Z117" i="8" s="1"/>
  <c r="AA117" i="8"/>
  <c r="AE117" i="8"/>
  <c r="P109" i="8"/>
  <c r="Z109" i="8" s="1"/>
  <c r="AA109" i="8"/>
  <c r="AE109" i="8"/>
  <c r="P126" i="8"/>
  <c r="Z126" i="8" s="1"/>
  <c r="AC126" i="8" s="1"/>
  <c r="AA126" i="8"/>
  <c r="AE126" i="8"/>
  <c r="P100" i="8"/>
  <c r="Z100" i="8" s="1"/>
  <c r="AA100" i="8"/>
  <c r="AE100" i="8"/>
  <c r="P98" i="8"/>
  <c r="Z98" i="8" s="1"/>
  <c r="AA98" i="8"/>
  <c r="AE98" i="8"/>
  <c r="P97" i="8"/>
  <c r="Z97" i="8" s="1"/>
  <c r="AA97" i="8"/>
  <c r="AE97" i="8"/>
  <c r="P104" i="8"/>
  <c r="Z104" i="8" s="1"/>
  <c r="AA104" i="8"/>
  <c r="AE104" i="8"/>
  <c r="P129" i="8"/>
  <c r="Z129" i="8" s="1"/>
  <c r="AA129" i="8"/>
  <c r="AE129" i="8"/>
  <c r="P102" i="8"/>
  <c r="Z102" i="8" s="1"/>
  <c r="AA102" i="8"/>
  <c r="AE102" i="8"/>
  <c r="P110" i="8"/>
  <c r="Z110" i="8" s="1"/>
  <c r="AA110" i="8"/>
  <c r="AE110" i="8"/>
  <c r="P14" i="8"/>
  <c r="Z14" i="8" s="1"/>
  <c r="AA14" i="8"/>
  <c r="AE14" i="8"/>
  <c r="AD132" i="8"/>
  <c r="P132" i="8"/>
  <c r="Z132" i="8" s="1"/>
  <c r="AA132" i="8"/>
  <c r="AE132" i="8"/>
  <c r="P123" i="8"/>
  <c r="Z123" i="8" s="1"/>
  <c r="AA123" i="8"/>
  <c r="AE123" i="8"/>
  <c r="P87" i="8"/>
  <c r="Z87" i="8" s="1"/>
  <c r="AA87" i="8"/>
  <c r="AE87" i="8"/>
  <c r="P45" i="8"/>
  <c r="Z45" i="8" s="1"/>
  <c r="AC45" i="8" s="1"/>
  <c r="AA45" i="8"/>
  <c r="AE45" i="8"/>
  <c r="P124" i="8"/>
  <c r="Z124" i="8" s="1"/>
  <c r="AA124" i="8"/>
  <c r="AE124" i="8"/>
  <c r="P99" i="8"/>
  <c r="Z99" i="8" s="1"/>
  <c r="AA99" i="8"/>
  <c r="AE99" i="8"/>
  <c r="P103" i="8"/>
  <c r="Z103" i="8" s="1"/>
  <c r="AC103" i="8" s="1"/>
  <c r="AA103" i="8"/>
  <c r="AE103" i="8"/>
  <c r="P105" i="8"/>
  <c r="Z105" i="8" s="1"/>
  <c r="AA105" i="8"/>
  <c r="AE105" i="8"/>
  <c r="P106" i="8"/>
  <c r="Z106" i="8" s="1"/>
  <c r="AA106" i="8"/>
  <c r="AE106" i="8"/>
  <c r="P154" i="8"/>
  <c r="Z154" i="8" s="1"/>
  <c r="AA154" i="8"/>
  <c r="AE154" i="8"/>
  <c r="AD135" i="8"/>
  <c r="P135" i="8"/>
  <c r="Z135" i="8" s="1"/>
  <c r="AA135" i="8"/>
  <c r="AE135" i="8"/>
  <c r="P108" i="8"/>
  <c r="Z108" i="8" s="1"/>
  <c r="AA108" i="8"/>
  <c r="AE108" i="8"/>
  <c r="P114" i="8"/>
  <c r="Z114" i="8" s="1"/>
  <c r="AA114" i="8"/>
  <c r="AE114" i="8"/>
  <c r="P112" i="8"/>
  <c r="Z112" i="8" s="1"/>
  <c r="AA112" i="8"/>
  <c r="AE112" i="8"/>
  <c r="P113" i="8"/>
  <c r="Z113" i="8" s="1"/>
  <c r="AA113" i="8"/>
  <c r="AE113" i="8"/>
  <c r="AD115" i="8"/>
  <c r="P115" i="8"/>
  <c r="Z115" i="8" s="1"/>
  <c r="AC115" i="8" s="1"/>
  <c r="AA115" i="8"/>
  <c r="AE115" i="8"/>
  <c r="P118" i="8"/>
  <c r="Z118" i="8" s="1"/>
  <c r="AA118" i="8"/>
  <c r="AE118" i="8"/>
  <c r="P122" i="8"/>
  <c r="Z122" i="8" s="1"/>
  <c r="AA122" i="8"/>
  <c r="AE122" i="8"/>
  <c r="P120" i="8"/>
  <c r="Z120" i="8" s="1"/>
  <c r="AA120" i="8"/>
  <c r="AE120" i="8"/>
  <c r="P121" i="8"/>
  <c r="Z121" i="8" s="1"/>
  <c r="AA121" i="8"/>
  <c r="AE121" i="8"/>
  <c r="AD163" i="8"/>
  <c r="P163" i="8"/>
  <c r="Z163" i="8" s="1"/>
  <c r="AA163" i="8"/>
  <c r="AE163" i="8"/>
  <c r="P52" i="8"/>
  <c r="Z52" i="8" s="1"/>
  <c r="AA52" i="8"/>
  <c r="AE52" i="8"/>
  <c r="P125" i="8"/>
  <c r="Z125" i="8" s="1"/>
  <c r="AA125" i="8"/>
  <c r="AE125" i="8"/>
  <c r="P127" i="8"/>
  <c r="Z127" i="8" s="1"/>
  <c r="AA127" i="8"/>
  <c r="AE127" i="8"/>
  <c r="P130" i="8"/>
  <c r="Z130" i="8" s="1"/>
  <c r="AA130" i="8"/>
  <c r="AE130" i="8"/>
  <c r="P131" i="8"/>
  <c r="Z131" i="8" s="1"/>
  <c r="AA131" i="8"/>
  <c r="AE131" i="8"/>
  <c r="P133" i="8"/>
  <c r="Z133" i="8" s="1"/>
  <c r="AA133" i="8"/>
  <c r="AE133" i="8"/>
  <c r="P134" i="8"/>
  <c r="Z134" i="8" s="1"/>
  <c r="AC134" i="8" s="1"/>
  <c r="AA134" i="8"/>
  <c r="AE134" i="8"/>
  <c r="P136" i="8"/>
  <c r="Z136" i="8" s="1"/>
  <c r="AA136" i="8"/>
  <c r="AE136" i="8"/>
  <c r="AD137" i="8"/>
  <c r="P137" i="8"/>
  <c r="Z137" i="8" s="1"/>
  <c r="AA137" i="8"/>
  <c r="AE137" i="8"/>
  <c r="AD139" i="8"/>
  <c r="P139" i="8"/>
  <c r="Z139" i="8" s="1"/>
  <c r="AA139" i="8"/>
  <c r="AE139" i="8"/>
  <c r="AD91" i="8"/>
  <c r="P91" i="8"/>
  <c r="Z91" i="8" s="1"/>
  <c r="AA91" i="8"/>
  <c r="AE91" i="8"/>
  <c r="P42" i="8"/>
  <c r="Z42" i="8" s="1"/>
  <c r="AA42" i="8"/>
  <c r="AE42" i="8"/>
  <c r="P95" i="8"/>
  <c r="Z95" i="8" s="1"/>
  <c r="AA95" i="8"/>
  <c r="AE95" i="8"/>
  <c r="AD43" i="8"/>
  <c r="P43" i="8"/>
  <c r="Z43" i="8" s="1"/>
  <c r="AA43" i="8"/>
  <c r="AE43" i="8"/>
  <c r="P44" i="8"/>
  <c r="Z44" i="8" s="1"/>
  <c r="AA44" i="8"/>
  <c r="AE44" i="8"/>
  <c r="AD67" i="8"/>
  <c r="P67" i="8"/>
  <c r="Z67" i="8" s="1"/>
  <c r="AA67" i="8"/>
  <c r="AE67" i="8"/>
  <c r="P46" i="8"/>
  <c r="Z46" i="8" s="1"/>
  <c r="AA46" i="8"/>
  <c r="AE46" i="8"/>
  <c r="P48" i="8"/>
  <c r="Z48" i="8" s="1"/>
  <c r="AA48" i="8"/>
  <c r="AE48" i="8"/>
  <c r="AD111" i="8"/>
  <c r="P111" i="8"/>
  <c r="Z111" i="8" s="1"/>
  <c r="AA111" i="8"/>
  <c r="AE111" i="8"/>
  <c r="P50" i="8"/>
  <c r="Z50" i="8" s="1"/>
  <c r="AA50" i="8"/>
  <c r="AE50" i="8"/>
  <c r="P51" i="8"/>
  <c r="Z51" i="8" s="1"/>
  <c r="AA51" i="8"/>
  <c r="AE51" i="8"/>
  <c r="Z142" i="8"/>
  <c r="AA142" i="8"/>
  <c r="AE142" i="8"/>
  <c r="P53" i="8"/>
  <c r="Z53" i="8" s="1"/>
  <c r="AA53" i="8"/>
  <c r="AE53" i="8"/>
  <c r="P54" i="8"/>
  <c r="Z54" i="8" s="1"/>
  <c r="AA54" i="8"/>
  <c r="AE54" i="8"/>
  <c r="P55" i="8"/>
  <c r="Z55" i="8" s="1"/>
  <c r="AA55" i="8"/>
  <c r="AE55" i="8"/>
  <c r="P56" i="8"/>
  <c r="Z56" i="8" s="1"/>
  <c r="AA56" i="8"/>
  <c r="AE56" i="8"/>
  <c r="P57" i="8"/>
  <c r="Z57" i="8" s="1"/>
  <c r="AA57" i="8"/>
  <c r="AE57" i="8"/>
  <c r="P58" i="8"/>
  <c r="Z58" i="8" s="1"/>
  <c r="AA58" i="8"/>
  <c r="AE58" i="8"/>
  <c r="P59" i="8"/>
  <c r="Z59" i="8" s="1"/>
  <c r="AA59" i="8"/>
  <c r="AE59" i="8"/>
  <c r="AD60" i="8"/>
  <c r="P60" i="8"/>
  <c r="Z60" i="8" s="1"/>
  <c r="AA60" i="8"/>
  <c r="AE60" i="8"/>
  <c r="P61" i="8"/>
  <c r="Z61" i="8" s="1"/>
  <c r="AA61" i="8"/>
  <c r="AE61" i="8"/>
  <c r="AD62" i="8"/>
  <c r="P62" i="8"/>
  <c r="Z62" i="8" s="1"/>
  <c r="AA62" i="8"/>
  <c r="AE62" i="8"/>
  <c r="P63" i="8"/>
  <c r="Z63" i="8" s="1"/>
  <c r="AA63" i="8"/>
  <c r="AE63" i="8"/>
  <c r="P64" i="8"/>
  <c r="Z64" i="8" s="1"/>
  <c r="AA64" i="8"/>
  <c r="AE64" i="8"/>
  <c r="AD65" i="8"/>
  <c r="P65" i="8"/>
  <c r="Z65" i="8" s="1"/>
  <c r="AA65" i="8"/>
  <c r="AE65" i="8"/>
  <c r="P66" i="8"/>
  <c r="Z66" i="8" s="1"/>
  <c r="AA66" i="8"/>
  <c r="AE66" i="8"/>
  <c r="AD107" i="8"/>
  <c r="P107" i="8"/>
  <c r="Z107" i="8" s="1"/>
  <c r="AA107" i="8"/>
  <c r="AE107" i="8"/>
  <c r="P49" i="8"/>
  <c r="Z49" i="8" s="1"/>
  <c r="AA49" i="8"/>
  <c r="AE49" i="8"/>
  <c r="AD69" i="8"/>
  <c r="P69" i="8"/>
  <c r="Z69" i="8" s="1"/>
  <c r="AA69" i="8"/>
  <c r="AE69" i="8"/>
  <c r="P70" i="8"/>
  <c r="Z70" i="8" s="1"/>
  <c r="AA70" i="8"/>
  <c r="AE70" i="8"/>
  <c r="P71" i="8"/>
  <c r="Z71" i="8" s="1"/>
  <c r="AA71" i="8"/>
  <c r="AE71" i="8"/>
  <c r="P72" i="8"/>
  <c r="Z72" i="8" s="1"/>
  <c r="AA72" i="8"/>
  <c r="AE72" i="8"/>
  <c r="P73" i="8"/>
  <c r="Z73" i="8" s="1"/>
  <c r="AA73" i="8"/>
  <c r="AE73" i="8"/>
  <c r="P75" i="8"/>
  <c r="Z75" i="8" s="1"/>
  <c r="AA75" i="8"/>
  <c r="AE75" i="8"/>
  <c r="P76" i="8"/>
  <c r="Z76" i="8" s="1"/>
  <c r="AA76" i="8"/>
  <c r="AE76" i="8"/>
  <c r="P77" i="8"/>
  <c r="Z77" i="8" s="1"/>
  <c r="AA77" i="8"/>
  <c r="AE77" i="8"/>
  <c r="P78" i="8"/>
  <c r="Z78" i="8" s="1"/>
  <c r="AA78" i="8"/>
  <c r="AE78" i="8"/>
  <c r="P79" i="8"/>
  <c r="Z79" i="8" s="1"/>
  <c r="AA79" i="8"/>
  <c r="AE79" i="8"/>
  <c r="P80" i="8"/>
  <c r="Z80" i="8" s="1"/>
  <c r="AA80" i="8"/>
  <c r="AE80" i="8"/>
  <c r="P81" i="8"/>
  <c r="Z81" i="8" s="1"/>
  <c r="AA81" i="8"/>
  <c r="AE81" i="8"/>
  <c r="P82" i="8"/>
  <c r="Z82" i="8" s="1"/>
  <c r="AA82" i="8"/>
  <c r="AE82" i="8"/>
  <c r="P83" i="8"/>
  <c r="Z83" i="8" s="1"/>
  <c r="AA83" i="8"/>
  <c r="AE83" i="8"/>
  <c r="AD84" i="8"/>
  <c r="P84" i="8"/>
  <c r="Z84" i="8" s="1"/>
  <c r="AA84" i="8"/>
  <c r="AE84" i="8"/>
  <c r="P128" i="8"/>
  <c r="Z128" i="8" s="1"/>
  <c r="AA128" i="8"/>
  <c r="AE128" i="8"/>
  <c r="AD86" i="8"/>
  <c r="P86" i="8"/>
  <c r="Z86" i="8" s="1"/>
  <c r="AA86" i="8"/>
  <c r="AE86" i="8"/>
  <c r="P30" i="8"/>
  <c r="Z30" i="8" s="1"/>
  <c r="AA30" i="8"/>
  <c r="AE30" i="8"/>
  <c r="P88" i="8"/>
  <c r="Z88" i="8" s="1"/>
  <c r="AA88" i="8"/>
  <c r="AE88" i="8"/>
  <c r="AD36" i="8"/>
  <c r="P36" i="8"/>
  <c r="Z36" i="8" s="1"/>
  <c r="AA36" i="8"/>
  <c r="AE36" i="8"/>
  <c r="P37" i="8"/>
  <c r="Z37" i="8" s="1"/>
  <c r="AA37" i="8"/>
  <c r="AE37" i="8"/>
  <c r="AD89" i="8"/>
  <c r="P89" i="8"/>
  <c r="Z89" i="8" s="1"/>
  <c r="AA89" i="8"/>
  <c r="AE89" i="8"/>
  <c r="AD90" i="8"/>
  <c r="P90" i="8"/>
  <c r="Z90" i="8" s="1"/>
  <c r="AA90" i="8"/>
  <c r="AE90" i="8"/>
  <c r="P4" i="8"/>
  <c r="Z4" i="8" s="1"/>
  <c r="AA4" i="8"/>
  <c r="AE4" i="8"/>
  <c r="P93" i="8"/>
  <c r="Z93" i="8" s="1"/>
  <c r="AA93" i="8"/>
  <c r="AE93" i="8"/>
  <c r="P94" i="8"/>
  <c r="Z94" i="8" s="1"/>
  <c r="AA94" i="8"/>
  <c r="AE94" i="8"/>
  <c r="P96" i="8"/>
  <c r="Z96" i="8" s="1"/>
  <c r="AA96" i="8"/>
  <c r="AE96" i="8"/>
  <c r="P138" i="8"/>
  <c r="Z138" i="8" s="1"/>
  <c r="AA138" i="8"/>
  <c r="AE138" i="8"/>
  <c r="AD153" i="8"/>
  <c r="P153" i="8"/>
  <c r="Z153" i="8" s="1"/>
  <c r="AA153" i="8"/>
  <c r="AE153" i="8"/>
  <c r="P6" i="8"/>
  <c r="Z6" i="8" s="1"/>
  <c r="AA6" i="8"/>
  <c r="AE6" i="8"/>
  <c r="P7" i="8"/>
  <c r="Z7" i="8" s="1"/>
  <c r="AA7" i="8"/>
  <c r="AE7" i="8"/>
  <c r="P47" i="8"/>
  <c r="Z47" i="8" s="1"/>
  <c r="AA47" i="8"/>
  <c r="AE47" i="8"/>
  <c r="P8" i="8"/>
  <c r="Z8" i="8" s="1"/>
  <c r="AA8" i="8"/>
  <c r="AE8" i="8"/>
  <c r="P9" i="8"/>
  <c r="Z9" i="8" s="1"/>
  <c r="AA9" i="8"/>
  <c r="AE9" i="8"/>
  <c r="P10" i="8"/>
  <c r="AA10" i="8"/>
  <c r="AE10" i="8"/>
  <c r="P101" i="8"/>
  <c r="Z101" i="8" s="1"/>
  <c r="AA101" i="8"/>
  <c r="AE101" i="8"/>
  <c r="P11" i="8"/>
  <c r="Z11" i="8" s="1"/>
  <c r="AA11" i="8"/>
  <c r="AE11" i="8"/>
  <c r="AD12" i="8"/>
  <c r="P12" i="8"/>
  <c r="Z12" i="8" s="1"/>
  <c r="AA12" i="8"/>
  <c r="AE12" i="8"/>
  <c r="P13" i="8"/>
  <c r="Z13" i="8" s="1"/>
  <c r="AA13" i="8"/>
  <c r="AE13" i="8"/>
  <c r="P68" i="8"/>
  <c r="Z68" i="8" s="1"/>
  <c r="AA68" i="8"/>
  <c r="AE68" i="8"/>
  <c r="AD15" i="8"/>
  <c r="P15" i="8"/>
  <c r="Z15" i="8" s="1"/>
  <c r="AA15" i="8"/>
  <c r="AE15" i="8"/>
  <c r="P16" i="8"/>
  <c r="Z16" i="8" s="1"/>
  <c r="AA16" i="8"/>
  <c r="AE16" i="8"/>
  <c r="AD17" i="8"/>
  <c r="P17" i="8"/>
  <c r="Z17" i="8" s="1"/>
  <c r="AA17" i="8"/>
  <c r="AE17" i="8"/>
  <c r="P18" i="8"/>
  <c r="Z18" i="8" s="1"/>
  <c r="AA18" i="8"/>
  <c r="AE18" i="8"/>
  <c r="P27" i="8"/>
  <c r="Z27" i="8" s="1"/>
  <c r="AA27" i="8"/>
  <c r="AE27" i="8"/>
  <c r="P20" i="8"/>
  <c r="Z20" i="8" s="1"/>
  <c r="AA20" i="8"/>
  <c r="AE20" i="8"/>
  <c r="P21" i="8"/>
  <c r="Z21" i="8" s="1"/>
  <c r="AA21" i="8"/>
  <c r="AE21" i="8"/>
  <c r="P22" i="8"/>
  <c r="Z22" i="8" s="1"/>
  <c r="AA22" i="8"/>
  <c r="AE22" i="8"/>
  <c r="AD19" i="8"/>
  <c r="P19" i="8"/>
  <c r="Z19" i="8" s="1"/>
  <c r="AA19" i="8"/>
  <c r="AE19" i="8"/>
  <c r="P24" i="8"/>
  <c r="Z24" i="8" s="1"/>
  <c r="AA24" i="8"/>
  <c r="AE24" i="8"/>
  <c r="P25" i="8"/>
  <c r="Z25" i="8" s="1"/>
  <c r="AA25" i="8"/>
  <c r="AE25" i="8"/>
  <c r="P26" i="8"/>
  <c r="Z26" i="8" s="1"/>
  <c r="AA26" i="8"/>
  <c r="AE26" i="8"/>
  <c r="AD5" i="8"/>
  <c r="P5" i="8"/>
  <c r="Z5" i="8" s="1"/>
  <c r="AA5" i="8"/>
  <c r="AE5" i="8"/>
  <c r="P28" i="8"/>
  <c r="Z28" i="8" s="1"/>
  <c r="AC28" i="8" s="1"/>
  <c r="AA28" i="8"/>
  <c r="AE28" i="8"/>
  <c r="P29" i="8"/>
  <c r="Z29" i="8" s="1"/>
  <c r="AA29" i="8"/>
  <c r="AE29" i="8"/>
  <c r="P155" i="8"/>
  <c r="Z155" i="8" s="1"/>
  <c r="AA155" i="8"/>
  <c r="AE155" i="8"/>
  <c r="P31" i="8"/>
  <c r="Z31" i="8" s="1"/>
  <c r="AA31" i="8"/>
  <c r="AE31" i="8"/>
  <c r="P32" i="8"/>
  <c r="Z32" i="8" s="1"/>
  <c r="AA32" i="8"/>
  <c r="AE32" i="8"/>
  <c r="P33" i="8"/>
  <c r="Z33" i="8" s="1"/>
  <c r="AA33" i="8"/>
  <c r="AE33" i="8"/>
  <c r="P34" i="8"/>
  <c r="Z34" i="8" s="1"/>
  <c r="AC34" i="8" s="1"/>
  <c r="AA34" i="8"/>
  <c r="AE34" i="8"/>
  <c r="P35" i="8"/>
  <c r="Z35" i="8" s="1"/>
  <c r="AA35" i="8"/>
  <c r="AE35" i="8"/>
  <c r="P119" i="8"/>
  <c r="Z119" i="8" s="1"/>
  <c r="AA119" i="8"/>
  <c r="AE119" i="8"/>
  <c r="AD39" i="8"/>
  <c r="P39" i="8"/>
  <c r="Z39" i="8" s="1"/>
  <c r="AA39" i="8"/>
  <c r="AE39" i="8"/>
  <c r="P40" i="8"/>
  <c r="Z40" i="8" s="1"/>
  <c r="AA40" i="8"/>
  <c r="AE40" i="8"/>
  <c r="H2" i="8"/>
  <c r="AD2" i="8" s="1"/>
  <c r="P2" i="8"/>
  <c r="Z2" i="8" s="1"/>
  <c r="AA2" i="8"/>
  <c r="AE2" i="8"/>
  <c r="H3" i="8"/>
  <c r="AD3" i="8" s="1"/>
  <c r="P3" i="8"/>
  <c r="Z3" i="8" s="1"/>
  <c r="AC3" i="8" s="1"/>
  <c r="AA3" i="8"/>
  <c r="AE3" i="8"/>
  <c r="H169" i="8"/>
  <c r="AD169" i="8" s="1"/>
  <c r="P169" i="8"/>
  <c r="Z169" i="8" s="1"/>
  <c r="AC169" i="8" s="1"/>
  <c r="AA169" i="8"/>
  <c r="AE169" i="8"/>
  <c r="H12" i="4"/>
  <c r="H11" i="4"/>
  <c r="H10" i="4"/>
  <c r="H9" i="4"/>
  <c r="I9" i="4" s="1"/>
  <c r="H8" i="4"/>
  <c r="I8" i="4" s="1"/>
  <c r="H7" i="4"/>
  <c r="H6" i="4"/>
  <c r="H5" i="4"/>
  <c r="I5" i="4" s="1"/>
  <c r="H4" i="4"/>
  <c r="I4" i="4" s="1"/>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E3" i="6"/>
  <c r="E4" i="6" s="1"/>
  <c r="E5" i="6" s="1"/>
  <c r="E6" i="6" s="1"/>
  <c r="E7" i="6" s="1"/>
  <c r="E8" i="6" s="1"/>
  <c r="E9" i="6" s="1"/>
  <c r="E10" i="6" s="1"/>
  <c r="E11" i="6" s="1"/>
  <c r="E12" i="6" s="1"/>
  <c r="E13" i="6" s="1"/>
  <c r="E14" i="6" s="1"/>
  <c r="E15" i="6" s="1"/>
  <c r="E16" i="6" s="1"/>
  <c r="E17" i="6" s="1"/>
  <c r="E18" i="6" s="1"/>
  <c r="E19" i="6" s="1"/>
  <c r="E20" i="6" s="1"/>
  <c r="E21" i="6" s="1"/>
  <c r="E22" i="6" s="1"/>
  <c r="E23" i="6" s="1"/>
  <c r="E24" i="6" s="1"/>
  <c r="E25" i="6" s="1"/>
  <c r="E26" i="6" s="1"/>
  <c r="E27" i="6" s="1"/>
  <c r="E28" i="6" s="1"/>
  <c r="E29" i="6" s="1"/>
  <c r="E30" i="6" s="1"/>
  <c r="E31" i="6" s="1"/>
  <c r="E32" i="6" s="1"/>
  <c r="E33" i="6" s="1"/>
  <c r="E34" i="6" s="1"/>
  <c r="E35" i="6" s="1"/>
  <c r="E36" i="6" s="1"/>
  <c r="E37" i="6" s="1"/>
  <c r="E38" i="6" s="1"/>
  <c r="E39" i="6" s="1"/>
  <c r="E40" i="6" s="1"/>
  <c r="E41" i="6" s="1"/>
  <c r="E42" i="6" s="1"/>
  <c r="E43" i="6" s="1"/>
  <c r="E44" i="6" s="1"/>
  <c r="E45" i="6" s="1"/>
  <c r="E46" i="6" s="1"/>
  <c r="E47" i="6" s="1"/>
  <c r="E48" i="6" s="1"/>
  <c r="E49" i="6" s="1"/>
  <c r="E50" i="6" s="1"/>
  <c r="E51" i="6" s="1"/>
  <c r="E52" i="6" s="1"/>
  <c r="E53" i="6" s="1"/>
  <c r="E54" i="6" s="1"/>
  <c r="E55" i="6" s="1"/>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I10" i="4"/>
  <c r="I7" i="4"/>
  <c r="H3" i="4"/>
  <c r="I3" i="4" s="1"/>
  <c r="I12" i="4"/>
  <c r="I6" i="4"/>
  <c r="I11" i="4"/>
  <c r="D12" i="4"/>
  <c r="G12" i="4" s="1"/>
  <c r="D11" i="4"/>
  <c r="G11" i="4" s="1"/>
  <c r="D10" i="4"/>
  <c r="G10" i="4" s="1"/>
  <c r="D9" i="4"/>
  <c r="G9" i="4" s="1"/>
  <c r="D7" i="4"/>
  <c r="G7" i="4" s="1"/>
  <c r="D6" i="4"/>
  <c r="G6" i="4" s="1"/>
  <c r="D5" i="4"/>
  <c r="G5" i="4" s="1"/>
  <c r="D4" i="4"/>
  <c r="G4" i="4" s="1"/>
  <c r="D3" i="4"/>
  <c r="G3" i="4" s="1"/>
  <c r="D8" i="4"/>
  <c r="G8" i="4" s="1"/>
  <c r="C12" i="4"/>
  <c r="C11" i="4"/>
  <c r="C10" i="4"/>
  <c r="C9" i="4"/>
  <c r="C8" i="4"/>
  <c r="C7" i="4"/>
  <c r="C6" i="4"/>
  <c r="C5" i="4"/>
  <c r="C3" i="4"/>
  <c r="C4" i="4"/>
  <c r="D10" i="26" l="1"/>
  <c r="D14" i="26" s="1"/>
  <c r="D5" i="26"/>
  <c r="AG41" i="8"/>
  <c r="AF41" i="8"/>
  <c r="AB41" i="8"/>
  <c r="AC41" i="8"/>
  <c r="AG74" i="8"/>
  <c r="AF74" i="8"/>
  <c r="AD74" i="8"/>
  <c r="AC74" i="8"/>
  <c r="AB74" i="8"/>
  <c r="AB148" i="8"/>
  <c r="AB140" i="8"/>
  <c r="AD82" i="8"/>
  <c r="AD44" i="8"/>
  <c r="AF126" i="8"/>
  <c r="AG126" i="8"/>
  <c r="AF53" i="8"/>
  <c r="AG53" i="8"/>
  <c r="AF54" i="8"/>
  <c r="AG54" i="8"/>
  <c r="AF55" i="8"/>
  <c r="AG55" i="8"/>
  <c r="AG65" i="8"/>
  <c r="AF66" i="8"/>
  <c r="AG66" i="8"/>
  <c r="AF107" i="8"/>
  <c r="AG107" i="8"/>
  <c r="AG77" i="8"/>
  <c r="AB79" i="8"/>
  <c r="AF78" i="8"/>
  <c r="AG36" i="8"/>
  <c r="AF37" i="8"/>
  <c r="AG47" i="8"/>
  <c r="AG140" i="8"/>
  <c r="AF8" i="8"/>
  <c r="AG149" i="8"/>
  <c r="AG18" i="8"/>
  <c r="AF158" i="8"/>
  <c r="AF27" i="8"/>
  <c r="AG158" i="8"/>
  <c r="AG155" i="8"/>
  <c r="AD131" i="8"/>
  <c r="AF159" i="8"/>
  <c r="AF31" i="8"/>
  <c r="AD121" i="8"/>
  <c r="AG159" i="8"/>
  <c r="AF65" i="8"/>
  <c r="AF77" i="8"/>
  <c r="AF36" i="8"/>
  <c r="AF47" i="8"/>
  <c r="AF18" i="8"/>
  <c r="AF155" i="8"/>
  <c r="AG78" i="8"/>
  <c r="AG37" i="8"/>
  <c r="AG8" i="8"/>
  <c r="AG27" i="8"/>
  <c r="AG31" i="8"/>
  <c r="AF79" i="8"/>
  <c r="AF89" i="8"/>
  <c r="AF9" i="8"/>
  <c r="AF20" i="8"/>
  <c r="AF32" i="8"/>
  <c r="AF160" i="8"/>
  <c r="AG79" i="8"/>
  <c r="AG89" i="8"/>
  <c r="AG9" i="8"/>
  <c r="AG20" i="8"/>
  <c r="AG32" i="8"/>
  <c r="AG160" i="8"/>
  <c r="AF56" i="8"/>
  <c r="AF49" i="8"/>
  <c r="AF80" i="8"/>
  <c r="AF90" i="8"/>
  <c r="AF10" i="8"/>
  <c r="AF21" i="8"/>
  <c r="AF33" i="8"/>
  <c r="AG56" i="8"/>
  <c r="AG49" i="8"/>
  <c r="AG80" i="8"/>
  <c r="AG90" i="8"/>
  <c r="AG10" i="8"/>
  <c r="AG21" i="8"/>
  <c r="AG33" i="8"/>
  <c r="AF57" i="8"/>
  <c r="AF69" i="8"/>
  <c r="AF81" i="8"/>
  <c r="AF4" i="8"/>
  <c r="AF101" i="8"/>
  <c r="AF22" i="8"/>
  <c r="AF34" i="8"/>
  <c r="AF100" i="8"/>
  <c r="AG57" i="8"/>
  <c r="AG69" i="8"/>
  <c r="AG81" i="8"/>
  <c r="AG4" i="8"/>
  <c r="AG101" i="8"/>
  <c r="AG22" i="8"/>
  <c r="AG34" i="8"/>
  <c r="AG100" i="8"/>
  <c r="AF58" i="8"/>
  <c r="AF70" i="8"/>
  <c r="AF82" i="8"/>
  <c r="AF93" i="8"/>
  <c r="AF11" i="8"/>
  <c r="AF19" i="8"/>
  <c r="AF35" i="8"/>
  <c r="AF45" i="8"/>
  <c r="AG58" i="8"/>
  <c r="AG70" i="8"/>
  <c r="AG93" i="8"/>
  <c r="AG11" i="8"/>
  <c r="AG19" i="8"/>
  <c r="AG35" i="8"/>
  <c r="AG45" i="8"/>
  <c r="AF59" i="8"/>
  <c r="AF71" i="8"/>
  <c r="AF83" i="8"/>
  <c r="AF94" i="8"/>
  <c r="AF12" i="8"/>
  <c r="AF24" i="8"/>
  <c r="AF119" i="8"/>
  <c r="AF99" i="8"/>
  <c r="AG59" i="8"/>
  <c r="AG71" i="8"/>
  <c r="AG83" i="8"/>
  <c r="AG94" i="8"/>
  <c r="AG12" i="8"/>
  <c r="AG24" i="8"/>
  <c r="AG119" i="8"/>
  <c r="AG99" i="8"/>
  <c r="AF60" i="8"/>
  <c r="AF72" i="8"/>
  <c r="AF84" i="8"/>
  <c r="AF96" i="8"/>
  <c r="AF13" i="8"/>
  <c r="AF25" i="8"/>
  <c r="AF39" i="8"/>
  <c r="AF140" i="8"/>
  <c r="AF115" i="8"/>
  <c r="AG60" i="8"/>
  <c r="AG72" i="8"/>
  <c r="AG84" i="8"/>
  <c r="AG96" i="8"/>
  <c r="AG13" i="8"/>
  <c r="AG25" i="8"/>
  <c r="AG39" i="8"/>
  <c r="AD151" i="8"/>
  <c r="AG115" i="8"/>
  <c r="AF61" i="8"/>
  <c r="AF73" i="8"/>
  <c r="AF128" i="8"/>
  <c r="AF138" i="8"/>
  <c r="AF68" i="8"/>
  <c r="AF26" i="8"/>
  <c r="AF40" i="8"/>
  <c r="AF146" i="8"/>
  <c r="AF134" i="8"/>
  <c r="AG61" i="8"/>
  <c r="AG73" i="8"/>
  <c r="AG128" i="8"/>
  <c r="AG138" i="8"/>
  <c r="AG68" i="8"/>
  <c r="AG26" i="8"/>
  <c r="AG40" i="8"/>
  <c r="AF50" i="8"/>
  <c r="AF62" i="8"/>
  <c r="AF86" i="8"/>
  <c r="AF153" i="8"/>
  <c r="AF15" i="8"/>
  <c r="AF5" i="8"/>
  <c r="AF2" i="8"/>
  <c r="AF147" i="8"/>
  <c r="AG50" i="8"/>
  <c r="AG62" i="8"/>
  <c r="AG86" i="8"/>
  <c r="AG153" i="8"/>
  <c r="AG15" i="8"/>
  <c r="AG5" i="8"/>
  <c r="AG2" i="8"/>
  <c r="AG147" i="8"/>
  <c r="AF51" i="8"/>
  <c r="AF63" i="8"/>
  <c r="AF75" i="8"/>
  <c r="AF30" i="8"/>
  <c r="AF6" i="8"/>
  <c r="AF16" i="8"/>
  <c r="AF28" i="8"/>
  <c r="AF3" i="8"/>
  <c r="AF148" i="8"/>
  <c r="AG51" i="8"/>
  <c r="AG63" i="8"/>
  <c r="AG75" i="8"/>
  <c r="AG30" i="8"/>
  <c r="AG6" i="8"/>
  <c r="AG16" i="8"/>
  <c r="AG28" i="8"/>
  <c r="AG3" i="8"/>
  <c r="AG148" i="8"/>
  <c r="AF142" i="8"/>
  <c r="AF64" i="8"/>
  <c r="AF76" i="8"/>
  <c r="AF88" i="8"/>
  <c r="AF7" i="8"/>
  <c r="AF17" i="8"/>
  <c r="AF29" i="8"/>
  <c r="AF169" i="8"/>
  <c r="AF149" i="8"/>
  <c r="AG142" i="8"/>
  <c r="AG64" i="8"/>
  <c r="AG76" i="8"/>
  <c r="AG88" i="8"/>
  <c r="AG7" i="8"/>
  <c r="AG17" i="8"/>
  <c r="AG29" i="8"/>
  <c r="AG169" i="8"/>
  <c r="AG134" i="8"/>
  <c r="AF124" i="8"/>
  <c r="AF118" i="8"/>
  <c r="AF136" i="8"/>
  <c r="AG124" i="8"/>
  <c r="AG118" i="8"/>
  <c r="AG136" i="8"/>
  <c r="AF98" i="8"/>
  <c r="AF122" i="8"/>
  <c r="AF137" i="8"/>
  <c r="AG98" i="8"/>
  <c r="AG122" i="8"/>
  <c r="AG137" i="8"/>
  <c r="AG111" i="8"/>
  <c r="AF161" i="8"/>
  <c r="AF97" i="8"/>
  <c r="AF103" i="8"/>
  <c r="AF120" i="8"/>
  <c r="AF139" i="8"/>
  <c r="AF111" i="8"/>
  <c r="AG161" i="8"/>
  <c r="AG97" i="8"/>
  <c r="AG103" i="8"/>
  <c r="AG120" i="8"/>
  <c r="AG139" i="8"/>
  <c r="AF92" i="8"/>
  <c r="AF150" i="8"/>
  <c r="AF162" i="8"/>
  <c r="AF104" i="8"/>
  <c r="AF105" i="8"/>
  <c r="AF121" i="8"/>
  <c r="AF91" i="8"/>
  <c r="AG92" i="8"/>
  <c r="AG150" i="8"/>
  <c r="AG162" i="8"/>
  <c r="AG104" i="8"/>
  <c r="AG105" i="8"/>
  <c r="AG91" i="8"/>
  <c r="AF151" i="8"/>
  <c r="AF164" i="8"/>
  <c r="AF129" i="8"/>
  <c r="AF106" i="8"/>
  <c r="AF163" i="8"/>
  <c r="AF42" i="8"/>
  <c r="AG164" i="8"/>
  <c r="AG129" i="8"/>
  <c r="AG106" i="8"/>
  <c r="AG163" i="8"/>
  <c r="AG42" i="8"/>
  <c r="AF152" i="8"/>
  <c r="AF165" i="8"/>
  <c r="AF102" i="8"/>
  <c r="AF154" i="8"/>
  <c r="AF52" i="8"/>
  <c r="AF95" i="8"/>
  <c r="AB20" i="8"/>
  <c r="AG152" i="8"/>
  <c r="AG165" i="8"/>
  <c r="AG102" i="8"/>
  <c r="AG154" i="8"/>
  <c r="AG52" i="8"/>
  <c r="AG95" i="8"/>
  <c r="AD110" i="8"/>
  <c r="AF141" i="8"/>
  <c r="AF38" i="8"/>
  <c r="AF166" i="8"/>
  <c r="AF110" i="8"/>
  <c r="AF135" i="8"/>
  <c r="AF125" i="8"/>
  <c r="AF43" i="8"/>
  <c r="AG141" i="8"/>
  <c r="AG38" i="8"/>
  <c r="AG166" i="8"/>
  <c r="AG135" i="8"/>
  <c r="AG125" i="8"/>
  <c r="AG43" i="8"/>
  <c r="AF85" i="8"/>
  <c r="AF116" i="8"/>
  <c r="AF167" i="8"/>
  <c r="AF14" i="8"/>
  <c r="AF108" i="8"/>
  <c r="AF127" i="8"/>
  <c r="AF44" i="8"/>
  <c r="AG85" i="8"/>
  <c r="AG116" i="8"/>
  <c r="AG167" i="8"/>
  <c r="AG14" i="8"/>
  <c r="AG108" i="8"/>
  <c r="AG127" i="8"/>
  <c r="AF143" i="8"/>
  <c r="AF23" i="8"/>
  <c r="AF168" i="8"/>
  <c r="AF132" i="8"/>
  <c r="AF114" i="8"/>
  <c r="AF130" i="8"/>
  <c r="AF67" i="8"/>
  <c r="AG143" i="8"/>
  <c r="AG23" i="8"/>
  <c r="AG168" i="8"/>
  <c r="AG132" i="8"/>
  <c r="AG114" i="8"/>
  <c r="AG130" i="8"/>
  <c r="AG67" i="8"/>
  <c r="AF144" i="8"/>
  <c r="AF156" i="8"/>
  <c r="AF117" i="8"/>
  <c r="AF123" i="8"/>
  <c r="AF112" i="8"/>
  <c r="AF131" i="8"/>
  <c r="AF46" i="8"/>
  <c r="AB152" i="8"/>
  <c r="AG144" i="8"/>
  <c r="AG156" i="8"/>
  <c r="AG117" i="8"/>
  <c r="AG123" i="8"/>
  <c r="AG112" i="8"/>
  <c r="AG46" i="8"/>
  <c r="AF145" i="8"/>
  <c r="AF157" i="8"/>
  <c r="AF109" i="8"/>
  <c r="AF87" i="8"/>
  <c r="AF113" i="8"/>
  <c r="AF133" i="8"/>
  <c r="AF48" i="8"/>
  <c r="AG145" i="8"/>
  <c r="AG157" i="8"/>
  <c r="AG109" i="8"/>
  <c r="AG87" i="8"/>
  <c r="AG113" i="8"/>
  <c r="AG133" i="8"/>
  <c r="AG48" i="8"/>
  <c r="AB29" i="8"/>
  <c r="AB165" i="8"/>
  <c r="AB6" i="8"/>
  <c r="AB9" i="8"/>
  <c r="AB107" i="8"/>
  <c r="AB95" i="8"/>
  <c r="AB119" i="8"/>
  <c r="AC119" i="8"/>
  <c r="AB82" i="8"/>
  <c r="AB112" i="8"/>
  <c r="AB98" i="8"/>
  <c r="AB161" i="8"/>
  <c r="AB147" i="8"/>
  <c r="AC147" i="8"/>
  <c r="AB154" i="8"/>
  <c r="AB160" i="8"/>
  <c r="AB123" i="8"/>
  <c r="AC123" i="8"/>
  <c r="AB131" i="8"/>
  <c r="AC131" i="8"/>
  <c r="AB89" i="8"/>
  <c r="AB55" i="8"/>
  <c r="AB17" i="8"/>
  <c r="AC17" i="8"/>
  <c r="AB32" i="8"/>
  <c r="AB169" i="8"/>
  <c r="AB16" i="8"/>
  <c r="AB117" i="8"/>
  <c r="AC117" i="8"/>
  <c r="AB102" i="8"/>
  <c r="AB71" i="8"/>
  <c r="AC71" i="8"/>
  <c r="AB59" i="8"/>
  <c r="AC59" i="8"/>
  <c r="AB46" i="8"/>
  <c r="AC46" i="8"/>
  <c r="AB93" i="8"/>
  <c r="AC93" i="8"/>
  <c r="AB11" i="8"/>
  <c r="AC11" i="8"/>
  <c r="AB52" i="8"/>
  <c r="AB103" i="8"/>
  <c r="AB30" i="8"/>
  <c r="AC112" i="8"/>
  <c r="AB73" i="8"/>
  <c r="AC73" i="8"/>
  <c r="AB58" i="8"/>
  <c r="AC58" i="8"/>
  <c r="AB12" i="8"/>
  <c r="AC12" i="8"/>
  <c r="AB67" i="8"/>
  <c r="AC67" i="8"/>
  <c r="AB156" i="8"/>
  <c r="AC156" i="8"/>
  <c r="AB61" i="8"/>
  <c r="AC61" i="8"/>
  <c r="AB130" i="8"/>
  <c r="AC130" i="8"/>
  <c r="AB94" i="8"/>
  <c r="AC94" i="8"/>
  <c r="AB111" i="8"/>
  <c r="AC111" i="8"/>
  <c r="AB88" i="8"/>
  <c r="AC88" i="8"/>
  <c r="AB7" i="8"/>
  <c r="AC7" i="8"/>
  <c r="AB128" i="8"/>
  <c r="AC128" i="8"/>
  <c r="AB138" i="8"/>
  <c r="AC138" i="8"/>
  <c r="AB127" i="8"/>
  <c r="AC127" i="8"/>
  <c r="AB83" i="8"/>
  <c r="AC83" i="8"/>
  <c r="AB70" i="8"/>
  <c r="AC70" i="8"/>
  <c r="AB24" i="8"/>
  <c r="AC24" i="8"/>
  <c r="AB2" i="8"/>
  <c r="AC2" i="8"/>
  <c r="AB19" i="8"/>
  <c r="AC19" i="8"/>
  <c r="AB144" i="8"/>
  <c r="AC144" i="8"/>
  <c r="AB35" i="8"/>
  <c r="AC35" i="8"/>
  <c r="AB34" i="8"/>
  <c r="AB149" i="8"/>
  <c r="AC29" i="8"/>
  <c r="AB3" i="8"/>
  <c r="AB28" i="8"/>
  <c r="AC82" i="8"/>
  <c r="AB134" i="8"/>
  <c r="AB146" i="8"/>
  <c r="AB126" i="8"/>
  <c r="AD146" i="8"/>
  <c r="AB158" i="8"/>
  <c r="AB115" i="8"/>
  <c r="AB45" i="8"/>
  <c r="AC161" i="8"/>
  <c r="AB68" i="8"/>
  <c r="AC68" i="8"/>
  <c r="AC47" i="8"/>
  <c r="AB47" i="8"/>
  <c r="AB157" i="8"/>
  <c r="AC157" i="8"/>
  <c r="AB38" i="8"/>
  <c r="AC38" i="8"/>
  <c r="AB56" i="8"/>
  <c r="AC56" i="8"/>
  <c r="AC4" i="8"/>
  <c r="AB4" i="8"/>
  <c r="AB22" i="8"/>
  <c r="AC22" i="8"/>
  <c r="AC13" i="8"/>
  <c r="AB13" i="8"/>
  <c r="AC96" i="8"/>
  <c r="AB96" i="8"/>
  <c r="AB125" i="8"/>
  <c r="AC125" i="8"/>
  <c r="AB120" i="8"/>
  <c r="AC120" i="8"/>
  <c r="AB145" i="8"/>
  <c r="AC145" i="8"/>
  <c r="AC155" i="8"/>
  <c r="AB155" i="8"/>
  <c r="AB139" i="8"/>
  <c r="AC139" i="8"/>
  <c r="AB76" i="8"/>
  <c r="AC76" i="8"/>
  <c r="AB63" i="8"/>
  <c r="AC63" i="8"/>
  <c r="AB51" i="8"/>
  <c r="AC51" i="8"/>
  <c r="AB137" i="8"/>
  <c r="AC137" i="8"/>
  <c r="AB141" i="8"/>
  <c r="AC141" i="8"/>
  <c r="AB80" i="8"/>
  <c r="AC80" i="8"/>
  <c r="AC26" i="8"/>
  <c r="AB26" i="8"/>
  <c r="AB87" i="8"/>
  <c r="AC87" i="8"/>
  <c r="AB90" i="8"/>
  <c r="AC90" i="8"/>
  <c r="AB21" i="8"/>
  <c r="AC21" i="8"/>
  <c r="AB122" i="8"/>
  <c r="AC122" i="8"/>
  <c r="AB99" i="8"/>
  <c r="AC99" i="8"/>
  <c r="AB75" i="8"/>
  <c r="AC75" i="8"/>
  <c r="AB62" i="8"/>
  <c r="AC62" i="8"/>
  <c r="AC50" i="8"/>
  <c r="AB50" i="8"/>
  <c r="AB136" i="8"/>
  <c r="AC136" i="8"/>
  <c r="AB100" i="8"/>
  <c r="AC100" i="8"/>
  <c r="AB164" i="8"/>
  <c r="AC164" i="8"/>
  <c r="AB159" i="8"/>
  <c r="AC159" i="8"/>
  <c r="AC39" i="8"/>
  <c r="AB39" i="8"/>
  <c r="AC118" i="8"/>
  <c r="AB118" i="8"/>
  <c r="AB124" i="8"/>
  <c r="AC124" i="8"/>
  <c r="AB151" i="8"/>
  <c r="AC151" i="8"/>
  <c r="AC81" i="8"/>
  <c r="AB81" i="8"/>
  <c r="AB106" i="8"/>
  <c r="AC106" i="8"/>
  <c r="AB129" i="8"/>
  <c r="AC129" i="8"/>
  <c r="AB110" i="8"/>
  <c r="AC110" i="8"/>
  <c r="AC101" i="8"/>
  <c r="AB101" i="8"/>
  <c r="AB168" i="8"/>
  <c r="AC168" i="8"/>
  <c r="AC85" i="8"/>
  <c r="AB85" i="8"/>
  <c r="AC33" i="8"/>
  <c r="AB33" i="8"/>
  <c r="AB42" i="8"/>
  <c r="AC42" i="8"/>
  <c r="AB23" i="8"/>
  <c r="AC23" i="8"/>
  <c r="AB54" i="8"/>
  <c r="AC54" i="8"/>
  <c r="AB114" i="8"/>
  <c r="AC114" i="8"/>
  <c r="AB132" i="8"/>
  <c r="AC132" i="8"/>
  <c r="AB162" i="8"/>
  <c r="AC162" i="8"/>
  <c r="AB135" i="8"/>
  <c r="AC135" i="8"/>
  <c r="AB49" i="8"/>
  <c r="AC49" i="8"/>
  <c r="AB66" i="8"/>
  <c r="AC66" i="8"/>
  <c r="AB86" i="8"/>
  <c r="AC86" i="8"/>
  <c r="AB78" i="8"/>
  <c r="AC78" i="8"/>
  <c r="AB150" i="8"/>
  <c r="AC150" i="8"/>
  <c r="AB142" i="8"/>
  <c r="AC142" i="8"/>
  <c r="AB10" i="8"/>
  <c r="AC10" i="8"/>
  <c r="AB91" i="8"/>
  <c r="AC91" i="8"/>
  <c r="AB105" i="8"/>
  <c r="AC105" i="8"/>
  <c r="AB104" i="8"/>
  <c r="AC104" i="8"/>
  <c r="AB64" i="8"/>
  <c r="AC64" i="8"/>
  <c r="AC25" i="8"/>
  <c r="AB25" i="8"/>
  <c r="AB37" i="8"/>
  <c r="AC37" i="8"/>
  <c r="AC31" i="8"/>
  <c r="AB31" i="8"/>
  <c r="AC167" i="8"/>
  <c r="AB167" i="8"/>
  <c r="AB18" i="8"/>
  <c r="AC18" i="8"/>
  <c r="AB43" i="8"/>
  <c r="AC43" i="8"/>
  <c r="AB84" i="8"/>
  <c r="AC84" i="8"/>
  <c r="AB163" i="8"/>
  <c r="AC163" i="8"/>
  <c r="AB153" i="8"/>
  <c r="AC153" i="8"/>
  <c r="AB65" i="8"/>
  <c r="AC65" i="8"/>
  <c r="AB53" i="8"/>
  <c r="AC53" i="8"/>
  <c r="AC8" i="8"/>
  <c r="AB8" i="8"/>
  <c r="AC27" i="8"/>
  <c r="AB27" i="8"/>
  <c r="AC15" i="8"/>
  <c r="AB15" i="8"/>
  <c r="AC116" i="8"/>
  <c r="AB116" i="8"/>
  <c r="AB143" i="8"/>
  <c r="AC143" i="8"/>
  <c r="AC113" i="8"/>
  <c r="AB113" i="8"/>
  <c r="AC57" i="8"/>
  <c r="AB57" i="8"/>
  <c r="AC44" i="8"/>
  <c r="AB44" i="8"/>
  <c r="AB121" i="8"/>
  <c r="AC121" i="8"/>
  <c r="AC108" i="8"/>
  <c r="AB108" i="8"/>
  <c r="AC14" i="8"/>
  <c r="AB14" i="8"/>
  <c r="AB92" i="8"/>
  <c r="AC92" i="8"/>
  <c r="AB97" i="8"/>
  <c r="AC97" i="8"/>
  <c r="AB40" i="8"/>
  <c r="AC40" i="8"/>
  <c r="AB5" i="8"/>
  <c r="AC5" i="8"/>
  <c r="AB77" i="8"/>
  <c r="AC77" i="8"/>
  <c r="AB69" i="8"/>
  <c r="AC69" i="8"/>
  <c r="AC60" i="8"/>
  <c r="AB60" i="8"/>
  <c r="AC48" i="8"/>
  <c r="AB48" i="8"/>
  <c r="AC133" i="8"/>
  <c r="AB133" i="8"/>
  <c r="AB36" i="8"/>
  <c r="AC36" i="8"/>
  <c r="AB72" i="8"/>
  <c r="AC72" i="8"/>
  <c r="AB109" i="8"/>
  <c r="AC109" i="8"/>
  <c r="AB166" i="8"/>
  <c r="AC166" i="8"/>
  <c r="AC16" i="8"/>
  <c r="AC6" i="8"/>
  <c r="AC30" i="8"/>
  <c r="AC98" i="8"/>
  <c r="AC160" i="8"/>
  <c r="AC148" i="8"/>
  <c r="AC32" i="8"/>
  <c r="AC20" i="8"/>
  <c r="AC9" i="8"/>
  <c r="AC89" i="8"/>
  <c r="AC79" i="8"/>
  <c r="AC107" i="8"/>
  <c r="AC55" i="8"/>
  <c r="AC95" i="8"/>
  <c r="AC52" i="8"/>
  <c r="AC154" i="8"/>
  <c r="AC102" i="8"/>
  <c r="AC165" i="8"/>
  <c r="AC152" i="8"/>
  <c r="AC140" i="8"/>
  <c r="J12" i="4"/>
  <c r="J5" i="4"/>
  <c r="J11" i="4"/>
  <c r="J7" i="4"/>
  <c r="J6" i="4"/>
  <c r="J4" i="4"/>
  <c r="J8" i="4"/>
  <c r="J3" i="4"/>
  <c r="J9" i="4"/>
  <c r="J10" i="4"/>
</calcChain>
</file>

<file path=xl/sharedStrings.xml><?xml version="1.0" encoding="utf-8"?>
<sst xmlns="http://schemas.openxmlformats.org/spreadsheetml/2006/main" count="1059" uniqueCount="491">
  <si>
    <t>Strategy</t>
  </si>
  <si>
    <t>Tactics</t>
  </si>
  <si>
    <t>1. Scout, never assume.</t>
  </si>
  <si>
    <t>1. Every building should serve a purpose</t>
  </si>
  <si>
    <t>Know how many vills he's going to classical with, a higher number on gold/wood can mean he's getting a TC. If he's going for aggression, scout the type of army he's making and try to counter. General rule of thumb, find your two tc's and your second hunt pack, note your gold mines and then do the same for his.</t>
  </si>
  <si>
    <t>Create chokepoints, prevent raiding and treat buldings as a free wall.</t>
  </si>
  <si>
    <t xml:space="preserve">2. Keep army moving OR in position </t>
  </si>
  <si>
    <t>If you have cavalry, keep scouting/raiding/picking off straggler troops. 
If you have archers keep them in secure locations to avoid losing them, chokepoints are preferable.
Infantry should be placed in spots to prevent raids.
If you are being aggressive, put yourself in his spot and place army ahead of time to intercept key resources.</t>
  </si>
  <si>
    <t>2. Put yourself in his position</t>
  </si>
  <si>
    <t>Ask yourself, what would you do if you played from his POV. Where would your second food gathering spot be? Would you take a TC? Would you FH? Start thinking about this ahead of time, while you scout.</t>
  </si>
  <si>
    <t>3. Only take fights that are favorable</t>
  </si>
  <si>
    <t>1. If you have a clear mathmatical/techn advantage
(Check before you fight, you can select units and right click and check what upgrades he has, don't fight blindly)
2. If your eco is significantly larger and you want to drain him
3. Never let a single unit die needlessly</t>
  </si>
  <si>
    <t>Type</t>
  </si>
  <si>
    <t>Faction</t>
  </si>
  <si>
    <t>Unit</t>
  </si>
  <si>
    <t>Food</t>
  </si>
  <si>
    <t>Wood</t>
  </si>
  <si>
    <t>Gold</t>
  </si>
  <si>
    <t>Favor</t>
  </si>
  <si>
    <t>Cost</t>
  </si>
  <si>
    <t>Pop</t>
  </si>
  <si>
    <t>Training Time</t>
  </si>
  <si>
    <t>HP</t>
  </si>
  <si>
    <t>Hack Damage</t>
  </si>
  <si>
    <t>Pierce Damage</t>
  </si>
  <si>
    <t>Divine Damage</t>
  </si>
  <si>
    <t>Crush Damage</t>
  </si>
  <si>
    <t>Total Damage</t>
  </si>
  <si>
    <t>Attack Speed</t>
  </si>
  <si>
    <t>Multiplier 1</t>
  </si>
  <si>
    <t>Multiplier 2</t>
  </si>
  <si>
    <t>Multiplier 3</t>
  </si>
  <si>
    <t>Hack Armor</t>
  </si>
  <si>
    <t>Pierce Armor</t>
  </si>
  <si>
    <t>Crush Armor</t>
  </si>
  <si>
    <t>Range</t>
  </si>
  <si>
    <t>Speed</t>
  </si>
  <si>
    <t>DPS</t>
  </si>
  <si>
    <t>DPS (Crush)</t>
  </si>
  <si>
    <t>DPS Per Cost</t>
  </si>
  <si>
    <t>DPS Per Pop</t>
  </si>
  <si>
    <t>HP Per Cost</t>
  </si>
  <si>
    <t>HP Per Pop</t>
  </si>
  <si>
    <t>Hack HP Per Cost</t>
  </si>
  <si>
    <t>Pierce HP Per Cost</t>
  </si>
  <si>
    <t>Animal</t>
  </si>
  <si>
    <t>All</t>
  </si>
  <si>
    <t>Golden Lion</t>
  </si>
  <si>
    <t>Relic Monkey</t>
  </si>
  <si>
    <t>Cavalry</t>
  </si>
  <si>
    <t>Egypt</t>
  </si>
  <si>
    <t>War Elephant</t>
  </si>
  <si>
    <t>3X vs. Buildings</t>
  </si>
  <si>
    <t>Infantry</t>
  </si>
  <si>
    <t>Atlantean</t>
  </si>
  <si>
    <t>Murmillo</t>
  </si>
  <si>
    <t>Myth</t>
  </si>
  <si>
    <t>Argus</t>
  </si>
  <si>
    <t>3x  MU</t>
  </si>
  <si>
    <t>0,5 x Hero</t>
  </si>
  <si>
    <t>Automaton</t>
  </si>
  <si>
    <t xml:space="preserve">3x  MU </t>
  </si>
  <si>
    <t>0,5x  Hero</t>
  </si>
  <si>
    <t>Behemoth</t>
  </si>
  <si>
    <t>5x Buildings</t>
  </si>
  <si>
    <t>2x MU</t>
  </si>
  <si>
    <t>Arrow Ship</t>
  </si>
  <si>
    <t>Bireme</t>
  </si>
  <si>
    <t>Caladria</t>
  </si>
  <si>
    <t>Carnivora</t>
  </si>
  <si>
    <t xml:space="preserve">0,25 x Villagers </t>
  </si>
  <si>
    <t>Ranged Siege</t>
  </si>
  <si>
    <t>Cheiroballista</t>
  </si>
  <si>
    <t>Ranged Siege Hero</t>
  </si>
  <si>
    <t>Cheiroballista (Hero)</t>
  </si>
  <si>
    <t>3x Ships</t>
  </si>
  <si>
    <t>8x MU</t>
  </si>
  <si>
    <t>Greek</t>
  </si>
  <si>
    <t>Hoplite</t>
  </si>
  <si>
    <t>1.25x cavalry</t>
  </si>
  <si>
    <t>Hero</t>
  </si>
  <si>
    <t>Contarius (Hero)</t>
  </si>
  <si>
    <t>1,5x Ranged</t>
  </si>
  <si>
    <t>7x MU</t>
  </si>
  <si>
    <t>Siege Infantry</t>
  </si>
  <si>
    <t>Destroyer</t>
  </si>
  <si>
    <t>6x buildings</t>
  </si>
  <si>
    <t>Siege Infantry Hero</t>
  </si>
  <si>
    <t>Destroyer (Hero)</t>
  </si>
  <si>
    <t>6x Building</t>
  </si>
  <si>
    <t>11x MU</t>
  </si>
  <si>
    <t>Dryad</t>
  </si>
  <si>
    <t>Katapeltes</t>
  </si>
  <si>
    <t>4x cavalry</t>
  </si>
  <si>
    <t>Fanatic (Hero)</t>
  </si>
  <si>
    <t>2x Infrantry</t>
  </si>
  <si>
    <t>2x Cavalry</t>
  </si>
  <si>
    <t>Close Combat Ship</t>
  </si>
  <si>
    <t>Fire Ship</t>
  </si>
  <si>
    <t>Siege</t>
  </si>
  <si>
    <t>Fire Siphon</t>
  </si>
  <si>
    <t>Norse</t>
  </si>
  <si>
    <t>Jarl</t>
  </si>
  <si>
    <t>Katapeltes (Hero)</t>
  </si>
  <si>
    <t>4x Cavalry</t>
  </si>
  <si>
    <t>9x MU</t>
  </si>
  <si>
    <t>Lampades</t>
  </si>
  <si>
    <t>2x  MU</t>
  </si>
  <si>
    <t xml:space="preserve"> 0,25x Hero</t>
  </si>
  <si>
    <t>Man O War</t>
  </si>
  <si>
    <t>3x MU</t>
  </si>
  <si>
    <t>0,25x Hero</t>
  </si>
  <si>
    <t>0,25 x Hero</t>
  </si>
  <si>
    <t>Fanatic</t>
  </si>
  <si>
    <t>2x infantry 2x cavalry</t>
  </si>
  <si>
    <t>Infantry Hero</t>
  </si>
  <si>
    <t>Murmillo (Hero)</t>
  </si>
  <si>
    <t>5,5x MU</t>
  </si>
  <si>
    <t>Nerid</t>
  </si>
  <si>
    <t>0,5x Hero</t>
  </si>
  <si>
    <t>Spearman</t>
  </si>
  <si>
    <t>1.75x cavalry</t>
  </si>
  <si>
    <t>Oracle (Hero)</t>
  </si>
  <si>
    <t>6x MU</t>
  </si>
  <si>
    <t>Promethean</t>
  </si>
  <si>
    <t>Promethean (off spring)</t>
  </si>
  <si>
    <t>1,5xMU</t>
  </si>
  <si>
    <t>Satyr</t>
  </si>
  <si>
    <t>3xMU</t>
  </si>
  <si>
    <t>Siege Bireme</t>
  </si>
  <si>
    <t>2*4</t>
  </si>
  <si>
    <t>4*4</t>
  </si>
  <si>
    <t>2x Archer Ships</t>
  </si>
  <si>
    <t>Stymphalian Bird</t>
  </si>
  <si>
    <t>Tartarian Spawn</t>
  </si>
  <si>
    <t>Hirdman</t>
  </si>
  <si>
    <t>Turma (Hero)</t>
  </si>
  <si>
    <t>10+8</t>
  </si>
  <si>
    <t>4x Ranged</t>
  </si>
  <si>
    <t>Myth Unit</t>
  </si>
  <si>
    <t>Water Carnivora</t>
  </si>
  <si>
    <t>Centimanus</t>
  </si>
  <si>
    <t>Anubite</t>
  </si>
  <si>
    <t>Aurochs of Set</t>
  </si>
  <si>
    <t>0,5 x Building</t>
  </si>
  <si>
    <t>Avenger</t>
  </si>
  <si>
    <t>x3 MU 0,5x Hero</t>
  </si>
  <si>
    <t>Hypapist</t>
  </si>
  <si>
    <t>5x infantry</t>
  </si>
  <si>
    <t>Baboon of Set</t>
  </si>
  <si>
    <t>0,5x Buildings</t>
  </si>
  <si>
    <t>Bear of Set</t>
  </si>
  <si>
    <t>Boar of Set</t>
  </si>
  <si>
    <t>Mercenary Cavalry</t>
  </si>
  <si>
    <t>1,25x Ranged</t>
  </si>
  <si>
    <t>Caribou of Set</t>
  </si>
  <si>
    <t>Catapult</t>
  </si>
  <si>
    <t>2,5 x Ship</t>
  </si>
  <si>
    <t>Myrmidon</t>
  </si>
  <si>
    <t>DIVINE DAMAGE</t>
  </si>
  <si>
    <t>Chicken of Set</t>
  </si>
  <si>
    <t>Crocodile of Set</t>
  </si>
  <si>
    <t>Crowned Crane of Set</t>
  </si>
  <si>
    <t>Deer of Set</t>
  </si>
  <si>
    <t>Elephant of Set</t>
  </si>
  <si>
    <t>Elk of Set</t>
  </si>
  <si>
    <t>Gazelle of Set</t>
  </si>
  <si>
    <t>Giraffe of Set</t>
  </si>
  <si>
    <t>Hippopotamus of Set</t>
  </si>
  <si>
    <t>Hyena of Set</t>
  </si>
  <si>
    <t>Kebenit</t>
  </si>
  <si>
    <t>Leviathan</t>
  </si>
  <si>
    <t>Lion of Set</t>
  </si>
  <si>
    <t>Lost Ship (Ancestors)</t>
  </si>
  <si>
    <t>Axemen</t>
  </si>
  <si>
    <t>Contarius</t>
  </si>
  <si>
    <t>1.5X Archers</t>
  </si>
  <si>
    <t>Minion (Ancestors)</t>
  </si>
  <si>
    <t>Monkey of set</t>
  </si>
  <si>
    <t>Mummy</t>
  </si>
  <si>
    <t>Petsuchos</t>
  </si>
  <si>
    <t>Pharoah (Hero)</t>
  </si>
  <si>
    <t>2,5x MU</t>
  </si>
  <si>
    <t>Pharoah (New Hero)</t>
  </si>
  <si>
    <t>Phoenix</t>
  </si>
  <si>
    <t>Polar Bear of Set</t>
  </si>
  <si>
    <t>Priest (Hero)</t>
  </si>
  <si>
    <t>5x MU</t>
  </si>
  <si>
    <t>Rhinoceros of Set</t>
  </si>
  <si>
    <t>Roc</t>
  </si>
  <si>
    <t>Scarab</t>
  </si>
  <si>
    <t>Scorpion Man</t>
  </si>
  <si>
    <t>Sea Snake</t>
  </si>
  <si>
    <t>Serpent</t>
  </si>
  <si>
    <t>0,1x Villagers</t>
  </si>
  <si>
    <t>Siege Tower</t>
  </si>
  <si>
    <t>Berserk</t>
  </si>
  <si>
    <t>Son of Osiris (Hero)</t>
  </si>
  <si>
    <t>4x MU</t>
  </si>
  <si>
    <t>Prodromos</t>
  </si>
  <si>
    <t>3.5X Cavalry</t>
  </si>
  <si>
    <t>Sphinx</t>
  </si>
  <si>
    <t>Wadjet</t>
  </si>
  <si>
    <t>Walrus of Set</t>
  </si>
  <si>
    <t>Siege Ship</t>
  </si>
  <si>
    <t>War Barge</t>
  </si>
  <si>
    <t>Raiding Cavalry</t>
  </si>
  <si>
    <t>War Turtle</t>
  </si>
  <si>
    <t>Water Buffalo of Set</t>
  </si>
  <si>
    <t>Wolf of Set</t>
  </si>
  <si>
    <t>Zebra of Set</t>
  </si>
  <si>
    <t>Achilles</t>
  </si>
  <si>
    <t>6,5x MU</t>
  </si>
  <si>
    <t>Ajax</t>
  </si>
  <si>
    <t>12x MU</t>
  </si>
  <si>
    <t>Atlanta</t>
  </si>
  <si>
    <t xml:space="preserve">Bellerophon </t>
  </si>
  <si>
    <t>4,5x MU</t>
  </si>
  <si>
    <t>Carcinos</t>
  </si>
  <si>
    <t>Centaur</t>
  </si>
  <si>
    <t>Chimera</t>
  </si>
  <si>
    <t>Chiron</t>
  </si>
  <si>
    <t>Collosus</t>
  </si>
  <si>
    <t>Cyclops</t>
  </si>
  <si>
    <t>Mercenary</t>
  </si>
  <si>
    <t>1,25x Cavalry</t>
  </si>
  <si>
    <t>Helepolis</t>
  </si>
  <si>
    <t>Heracles</t>
  </si>
  <si>
    <t>Hippeus</t>
  </si>
  <si>
    <t>Camel Rider</t>
  </si>
  <si>
    <t>2X vs. cav</t>
  </si>
  <si>
    <t>Hippocampus</t>
  </si>
  <si>
    <t>Hippolyta (Hero)</t>
  </si>
  <si>
    <t>Hetairos</t>
  </si>
  <si>
    <t>Does Splash Damage (2.5)</t>
  </si>
  <si>
    <t>Hydra</t>
  </si>
  <si>
    <t>Huskarl</t>
  </si>
  <si>
    <t>2x archers</t>
  </si>
  <si>
    <t>Jason</t>
  </si>
  <si>
    <t>Juggernaut</t>
  </si>
  <si>
    <t>2x arrow ships</t>
  </si>
  <si>
    <t>Ranged Cavalry</t>
  </si>
  <si>
    <t>Turma</t>
  </si>
  <si>
    <t>4x ranged</t>
  </si>
  <si>
    <t>Manticore</t>
  </si>
  <si>
    <t>Medusa</t>
  </si>
  <si>
    <t>Kataskopos</t>
  </si>
  <si>
    <t>Minotaur</t>
  </si>
  <si>
    <t>Ranged</t>
  </si>
  <si>
    <t>Peltast</t>
  </si>
  <si>
    <t>4X ranged</t>
  </si>
  <si>
    <t>Nemean Lion</t>
  </si>
  <si>
    <t>Odysseus</t>
  </si>
  <si>
    <t>Pegasus</t>
  </si>
  <si>
    <t>Slinger</t>
  </si>
  <si>
    <t>3x ranged</t>
  </si>
  <si>
    <t>Perseus</t>
  </si>
  <si>
    <t>7x</t>
  </si>
  <si>
    <t>Petrobolos</t>
  </si>
  <si>
    <t>2,5x Ships</t>
  </si>
  <si>
    <t>Polyphemus (Hero)</t>
  </si>
  <si>
    <t>Toxotes</t>
  </si>
  <si>
    <t>1.25X Infantry</t>
  </si>
  <si>
    <t>Ramming Galley</t>
  </si>
  <si>
    <t>Scylla</t>
  </si>
  <si>
    <t>1,5x MU</t>
  </si>
  <si>
    <t>Shade of Hades</t>
  </si>
  <si>
    <t>The Argo (Hero)</t>
  </si>
  <si>
    <t>3,5x MU</t>
  </si>
  <si>
    <t>Theseus (Hero)</t>
  </si>
  <si>
    <t>Arcus</t>
  </si>
  <si>
    <t>Trireme</t>
  </si>
  <si>
    <t>Ballista</t>
  </si>
  <si>
    <t>3x ships</t>
  </si>
  <si>
    <t>Battle Boar</t>
  </si>
  <si>
    <t>Chariot Archer</t>
  </si>
  <si>
    <t>Dragon Ship</t>
  </si>
  <si>
    <t>2x Arrow ships</t>
  </si>
  <si>
    <t>Dreki</t>
  </si>
  <si>
    <t>Einheri</t>
  </si>
  <si>
    <t>Fenris Wolf Brood</t>
  </si>
  <si>
    <t>Fimbulwinter Wolf</t>
  </si>
  <si>
    <t>Fire Giant</t>
  </si>
  <si>
    <t>Frost Giant</t>
  </si>
  <si>
    <t>Ranged Hero</t>
  </si>
  <si>
    <t>Godi (Hero)</t>
  </si>
  <si>
    <t>5.5x MU</t>
  </si>
  <si>
    <t>Hero of Ragnarok</t>
  </si>
  <si>
    <t>Hersir (Hero)</t>
  </si>
  <si>
    <t>Arcus (Hero)</t>
  </si>
  <si>
    <t>Gastraphetoros</t>
  </si>
  <si>
    <t>8x buildings</t>
  </si>
  <si>
    <t>Oracle</t>
  </si>
  <si>
    <t>Jormun Elver</t>
  </si>
  <si>
    <t>Kraken</t>
  </si>
  <si>
    <t>Longboat</t>
  </si>
  <si>
    <t>Mountain Giant</t>
  </si>
  <si>
    <t>Nidhogg</t>
  </si>
  <si>
    <t>Pentekonter</t>
  </si>
  <si>
    <t>Portable Ram</t>
  </si>
  <si>
    <t>Militia</t>
  </si>
  <si>
    <t>1,5x Cavalry</t>
  </si>
  <si>
    <t>Raven</t>
  </si>
  <si>
    <t>Ranged Infantry</t>
  </si>
  <si>
    <t xml:space="preserve">Throwing Axemen </t>
  </si>
  <si>
    <t>3X Infantry</t>
  </si>
  <si>
    <t>Troll</t>
  </si>
  <si>
    <t>Valkyrie</t>
  </si>
  <si>
    <t>Walking Woods</t>
  </si>
  <si>
    <t>Titans</t>
  </si>
  <si>
    <t>2x MU (20x Titan)</t>
  </si>
  <si>
    <t>2x Human</t>
  </si>
  <si>
    <t>Upgrade</t>
  </si>
  <si>
    <t>Time</t>
  </si>
  <si>
    <t>Description</t>
  </si>
  <si>
    <t>Zeus</t>
  </si>
  <si>
    <t>Olympus Parentage</t>
  </si>
  <si>
    <t>Hero hitpoints +25% and training time -50%</t>
  </si>
  <si>
    <t>Athena</t>
  </si>
  <si>
    <t>Labyrinth of Minos</t>
  </si>
  <si>
    <t>20% speed, 30% hitpoints</t>
  </si>
  <si>
    <t>Aegis Shield</t>
  </si>
  <si>
    <t>Infantry +15% pierce</t>
  </si>
  <si>
    <t>Sarissa</t>
  </si>
  <si>
    <t>10% damage and 1.5 additional range for hoplites</t>
  </si>
  <si>
    <t>Hermes</t>
  </si>
  <si>
    <t>Sylvan Lore</t>
  </si>
  <si>
    <t>3 additional range + 35% hitpoints</t>
  </si>
  <si>
    <t>Spirited Charge</t>
  </si>
  <si>
    <t>10% cavalry/centaur speed and damage</t>
  </si>
  <si>
    <t>Winged Messenger</t>
  </si>
  <si>
    <t>respawning pegasus + 20% speed and 6 LOS</t>
  </si>
  <si>
    <t>Ares</t>
  </si>
  <si>
    <t>Deimos Sword of Dread</t>
  </si>
  <si>
    <t>Hypapist enabled age 2 and +15% damage</t>
  </si>
  <si>
    <t>Phobos Spear of Panic</t>
  </si>
  <si>
    <t>hoplite, militia and prodromo get +1 divine damage</t>
  </si>
  <si>
    <t>Will of Kronos</t>
  </si>
  <si>
    <t>more damage + increased throw area</t>
  </si>
  <si>
    <t>Enyo Bow of Horror</t>
  </si>
  <si>
    <t>Toxotes +10% damage</t>
  </si>
  <si>
    <t>Fast TC</t>
  </si>
  <si>
    <t>Opener: 3 vills to food 1 to wood (put this close to food, for easy transition)</t>
  </si>
  <si>
    <t>Following 2 vills to gold</t>
  </si>
  <si>
    <t>Remaining vills to food (9)</t>
  </si>
  <si>
    <t>After 9 food, 1 gold.</t>
  </si>
  <si>
    <t>Build temple when mine goes down to 2899</t>
  </si>
  <si>
    <t>You should start advancing at 16 pop (15 vills)</t>
  </si>
  <si>
    <t>(3 on food while you advance is okay if you're hunting)</t>
  </si>
  <si>
    <t>you can do an even distribution of gold/wood. Gold vills will move out to tc. (2550 for tc)</t>
  </si>
  <si>
    <t>TC drops at 3:55 with hero, finishes before 5 minutes with 6 vills</t>
  </si>
  <si>
    <t xml:space="preserve"> Fast TC</t>
  </si>
  <si>
    <t>Remaining vills to food (10)</t>
  </si>
  <si>
    <t>After 10 food, 1 gold.</t>
  </si>
  <si>
    <t>TC drops around 3:55 with hero, finishes before 5 minutes with 6 vills</t>
  </si>
  <si>
    <t>Opener: lure at hunt, all 4 vills go there</t>
  </si>
  <si>
    <t>Remaining vills to food (7)</t>
  </si>
  <si>
    <t xml:space="preserve">After 7 food, 3 to gold (5 total) and 1 to wood </t>
  </si>
  <si>
    <t>Build temple when mine goes down to 2900</t>
  </si>
  <si>
    <t>You should start advancing at 15 pop</t>
  </si>
  <si>
    <t>leave only 1 on food, go all wood and then move back after tc goes up</t>
  </si>
  <si>
    <t>(2550 gold)</t>
  </si>
  <si>
    <t>TC drops around 3:40, finishes before 4:40 minutes with 5 vills</t>
  </si>
  <si>
    <t>2 Anubites and TC</t>
  </si>
  <si>
    <t>first 3 vills go to hunting</t>
  </si>
  <si>
    <t>next vill to monument then to house then to gold</t>
  </si>
  <si>
    <t>2 gold</t>
  </si>
  <si>
    <t>rest to food until 9</t>
  </si>
  <si>
    <t>rush up the temple with all 3 vills</t>
  </si>
  <si>
    <t>remaining vills to gold</t>
  </si>
  <si>
    <t>force drop food once temple is complete and advance</t>
  </si>
  <si>
    <t>transition all but 3 of your vills to gold and then get a second anubite right away</t>
  </si>
  <si>
    <t>Advance time 3:45, TC can drop at 3:50</t>
  </si>
  <si>
    <t>Standard Isis</t>
  </si>
  <si>
    <t>Total Distribution (X means all vills go here)</t>
  </si>
  <si>
    <t>next 2 vills to gold</t>
  </si>
  <si>
    <t>next vill makes monument and then goes to gold as well</t>
  </si>
  <si>
    <t>rest to food until 7</t>
  </si>
  <si>
    <t>after 7 on food, put 1 on wood and then rest on gold</t>
  </si>
  <si>
    <t xml:space="preserve">put temple down right away, make with 1 vill </t>
  </si>
  <si>
    <t>once temple is done, don’t make anymore vills, force drop food and advance</t>
  </si>
  <si>
    <t>get pickaxe asap and flood of nile asap, while advancing get second monument</t>
  </si>
  <si>
    <t>cast prosperity while advancing</t>
  </si>
  <si>
    <t>Advance time: 4.15, TC drops at 4:20</t>
  </si>
  <si>
    <t>Standard Ra (vill center + rain)</t>
  </si>
  <si>
    <t>2 to gold</t>
  </si>
  <si>
    <t>after 9 on food, rest go straight to gold</t>
  </si>
  <si>
    <t>as soon as you have 150 gold for temple, make it with 2 vills, at the same time make a house</t>
  </si>
  <si>
    <t>at 16 population you want to drop off all your food and advance</t>
  </si>
  <si>
    <t>keep 3 on food, rest on gold and put your pharoah on gold to empower and priest on food</t>
  </si>
  <si>
    <t>once advanced, vill center on chicken and move 4 from gold to wood</t>
  </si>
  <si>
    <t>from this point on, get pickaxe, shaduf, husbandary and plow</t>
  </si>
  <si>
    <t>once shaduf is done, start transitioning to farms at your main tc</t>
  </si>
  <si>
    <t>Armory Opener</t>
  </si>
  <si>
    <t>Standard Opener</t>
  </si>
  <si>
    <t>First 2 vills go to hunting, one vill works on an oxcart for gold, then an oxcart for wood and then goes to wood</t>
  </si>
  <si>
    <t>make a dwarf to start with, put on gold</t>
  </si>
  <si>
    <t>make 2 gathererers, put on food</t>
  </si>
  <si>
    <t>make a dwarf to gold</t>
  </si>
  <si>
    <t>make a gatherer to wood</t>
  </si>
  <si>
    <t>make a gatherer to food</t>
  </si>
  <si>
    <t>2 gatherers to food</t>
  </si>
  <si>
    <t>2 gatherers to wood</t>
  </si>
  <si>
    <t xml:space="preserve">1 to dwarf </t>
  </si>
  <si>
    <t>Advance (might need to force drop food)</t>
  </si>
  <si>
    <t>Advance time 4:00~</t>
  </si>
  <si>
    <t>make a gatherer to gold</t>
  </si>
  <si>
    <t>1 gatherer to wood (also switch the gatherer on gold to wood)</t>
  </si>
  <si>
    <t>Advance (might need to force drop food, also I'd take one off food and put him to wood when you're up)</t>
  </si>
  <si>
    <t>Advance time 3:50~</t>
  </si>
  <si>
    <t>X</t>
  </si>
  <si>
    <t xml:space="preserve">DPS </t>
  </si>
  <si>
    <t>Special/Bonus</t>
  </si>
  <si>
    <t>1.5X vs Buildings</t>
  </si>
  <si>
    <t>4x vs cavalry</t>
  </si>
  <si>
    <t>2x vs archers</t>
  </si>
  <si>
    <t>3X vs Infantry</t>
  </si>
  <si>
    <t>1.25x vs cavalry</t>
  </si>
  <si>
    <t>5x vs infantry</t>
  </si>
  <si>
    <t>1.75x vs cavalry</t>
  </si>
  <si>
    <t>6x vs buildings</t>
  </si>
  <si>
    <t>2x vs infantry 2x vs cavalry</t>
  </si>
  <si>
    <t>HP (Per Cost)</t>
  </si>
  <si>
    <t>RANGED</t>
  </si>
  <si>
    <t>DPS (Per Cost)</t>
  </si>
  <si>
    <t>5.5x vs MU</t>
  </si>
  <si>
    <t>1.25X vs Infantry</t>
  </si>
  <si>
    <t>4X vs ranged</t>
  </si>
  <si>
    <t>8x vs buildings</t>
  </si>
  <si>
    <t>3x vs ranged</t>
  </si>
  <si>
    <t>3.5x infantry and 3x vs ships</t>
  </si>
  <si>
    <t>4x vs ranged</t>
  </si>
  <si>
    <t>Raiding Cav</t>
  </si>
  <si>
    <t>Survivability</t>
  </si>
  <si>
    <t>Damage</t>
  </si>
  <si>
    <t>Special/Bonus Damage</t>
  </si>
  <si>
    <t>None</t>
  </si>
  <si>
    <t>Splash Damage</t>
  </si>
  <si>
    <t>2X Cavalry</t>
  </si>
  <si>
    <t>3X Buildings</t>
  </si>
  <si>
    <t>TC Build Time</t>
  </si>
  <si>
    <t xml:space="preserve">Vills working </t>
  </si>
  <si>
    <t>Vills after building TC</t>
  </si>
  <si>
    <t>Summary</t>
  </si>
  <si>
    <t>Vills</t>
  </si>
  <si>
    <t>Build Time</t>
  </si>
  <si>
    <t>Reduction</t>
  </si>
  <si>
    <t># of Vills</t>
  </si>
  <si>
    <t>Gather Rate</t>
  </si>
  <si>
    <t>Total</t>
  </si>
  <si>
    <t xml:space="preserve">Time </t>
  </si>
  <si>
    <t>Gathered</t>
  </si>
  <si>
    <t>3.5x Infrantry</t>
  </si>
  <si>
    <t>first two to food, build economic guild with one and research pick axe/handaxe</t>
  </si>
  <si>
    <t>vill to gold</t>
  </si>
  <si>
    <t>vill to wood</t>
  </si>
  <si>
    <t>build manor with gold vill</t>
  </si>
  <si>
    <t>rest to food and when you have 150 gold switch the vill to wood and build temple once you have enough</t>
  </si>
  <si>
    <t># of Units</t>
  </si>
  <si>
    <t>Total Cost</t>
  </si>
  <si>
    <t>Advance time 4:15~</t>
  </si>
  <si>
    <t>Advance to the next age (I recommend Freya for scouting purposes)</t>
  </si>
  <si>
    <t xml:space="preserve">Dwarf to gold </t>
  </si>
  <si>
    <t>Vill to wood</t>
  </si>
  <si>
    <t>Vill to food</t>
  </si>
  <si>
    <t>Dwarf to gold (research handaxe)</t>
  </si>
  <si>
    <t>Dwarf to gold</t>
  </si>
  <si>
    <t>First 3 to food, research pickaxe, build an additional oxcart near your hunt</t>
  </si>
  <si>
    <t>2 citizens to food</t>
  </si>
  <si>
    <t>1 citizen to food. Build manor, shift it back to the gold mine</t>
  </si>
  <si>
    <t>1 to gold</t>
  </si>
  <si>
    <t>1 to wood</t>
  </si>
  <si>
    <t>rest to food</t>
  </si>
  <si>
    <t>Start advancing at 2:30, advance around 3:30</t>
  </si>
  <si>
    <t>Fast second tc</t>
  </si>
  <si>
    <t>Take second tc with 2 hero citizens (Tc is built around 4:40)</t>
  </si>
  <si>
    <t>Timeshift temple to opponents base, distract him . Timeshift manor to second tc</t>
  </si>
  <si>
    <t>build temple with two vills.</t>
  </si>
  <si>
    <t>After you start advancing, put 4 on gold, 3 on wood.</t>
  </si>
  <si>
    <t>First two citizens to food</t>
  </si>
  <si>
    <t>Next to wood</t>
  </si>
  <si>
    <t>Next to gold (Build a manor with him)</t>
  </si>
  <si>
    <t>Rest to food</t>
  </si>
  <si>
    <t>You can either advance at 3:30 or 4:00, choice is yours. 
Personally I think 4:00 is better in most circumstances.</t>
  </si>
  <si>
    <t>4.0x infantry and 3x ships</t>
  </si>
  <si>
    <t>X means every new vill goes here</t>
  </si>
  <si>
    <t>I don't use this one anymore, It's outdated</t>
  </si>
  <si>
    <t>2 vills to wood, then a dwarf goes to wood</t>
  </si>
  <si>
    <t>First 3 dwarves to gold, add one more dwarf. Make armory near gold mine.</t>
  </si>
  <si>
    <t>Research copper mail first, then pierce armor and then hammer</t>
  </si>
  <si>
    <t>After this I improvise, I will do a video later on with a precise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</si>
</sst>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0000_);_(* \(#,##0.000000\);_(* &quot;-&quot;??_);_(@_)"/>
    <numFmt numFmtId="166" formatCode="_(* #,##0.0000_);_(* \(#,##0.0000\);_(* &quot;-&quot;??_);_(@_)"/>
    <numFmt numFmtId="167" formatCode="_(* #,##0.000_);_(* \(#,##0.000\);_(* &quot;-&quot;??_);_(@_)"/>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scheme val="minor"/>
    </font>
    <font>
      <sz val="11"/>
      <color theme="1"/>
      <name val="Arial"/>
      <family val="2"/>
    </font>
    <font>
      <sz val="11"/>
      <color theme="1"/>
      <name val="Aptos Narrow"/>
      <family val="2"/>
    </font>
    <font>
      <sz val="11"/>
      <color theme="1"/>
      <name val="Arial"/>
    </font>
    <font>
      <b/>
      <sz val="11"/>
      <color theme="1"/>
      <name val="Aptos Narrow"/>
    </font>
    <font>
      <sz val="11"/>
      <color theme="1"/>
      <name val="Aptos Narrow"/>
    </font>
    <font>
      <sz val="11"/>
      <color rgb="FF000000"/>
      <name val="Aptos Narrow"/>
    </font>
    <font>
      <sz val="10"/>
      <color theme="1"/>
      <name val="Aptos Narrow"/>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FFCC"/>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tint="0.59999389629810485"/>
        <bgColor indexed="64"/>
      </patternFill>
    </fill>
  </fills>
  <borders count="47">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thin">
        <color indexed="64"/>
      </right>
      <top/>
      <bottom style="thin">
        <color rgb="FF000000"/>
      </bottom>
      <diagonal/>
    </border>
    <border>
      <left/>
      <right/>
      <top/>
      <bottom style="thin">
        <color rgb="FF000000"/>
      </bottom>
      <diagonal/>
    </border>
    <border>
      <left style="thin">
        <color rgb="FF000000"/>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cellStyleXfs>
  <cellXfs count="245">
    <xf numFmtId="0" fontId="0" fillId="0" borderId="0" xfId="0"/>
    <xf numFmtId="0" fontId="0" fillId="3" borderId="0" xfId="0" applyFill="1"/>
    <xf numFmtId="0" fontId="0" fillId="3" borderId="1" xfId="0" applyFill="1" applyBorder="1"/>
    <xf numFmtId="0" fontId="0" fillId="3" borderId="2" xfId="0" applyFill="1" applyBorder="1"/>
    <xf numFmtId="9" fontId="0" fillId="0" borderId="0" xfId="2" applyFont="1"/>
    <xf numFmtId="0" fontId="0" fillId="8" borderId="6" xfId="0" applyFill="1" applyBorder="1"/>
    <xf numFmtId="0" fontId="0" fillId="8" borderId="7" xfId="0" applyFill="1" applyBorder="1"/>
    <xf numFmtId="0" fontId="0" fillId="8" borderId="8" xfId="0" applyFill="1" applyBorder="1"/>
    <xf numFmtId="45" fontId="0" fillId="0" borderId="0" xfId="0" applyNumberFormat="1"/>
    <xf numFmtId="165" fontId="0" fillId="0" borderId="0" xfId="1" applyNumberFormat="1" applyFont="1"/>
    <xf numFmtId="164" fontId="0" fillId="0" borderId="0" xfId="1" applyFont="1"/>
    <xf numFmtId="0" fontId="0" fillId="0" borderId="0" xfId="0" applyAlignment="1">
      <alignment horizontal="center"/>
    </xf>
    <xf numFmtId="164" fontId="0" fillId="10" borderId="0" xfId="1" applyFont="1" applyFill="1"/>
    <xf numFmtId="0" fontId="3" fillId="0" borderId="0" xfId="3"/>
    <xf numFmtId="0" fontId="4" fillId="0" borderId="0" xfId="3" applyFont="1"/>
    <xf numFmtId="9" fontId="0" fillId="0" borderId="0" xfId="5" applyFont="1"/>
    <xf numFmtId="0" fontId="3" fillId="0" borderId="2" xfId="3" applyBorder="1"/>
    <xf numFmtId="0" fontId="1" fillId="0" borderId="0" xfId="3" applyFont="1"/>
    <xf numFmtId="0" fontId="6" fillId="0" borderId="0" xfId="3" applyFont="1"/>
    <xf numFmtId="0" fontId="7" fillId="0" borderId="0" xfId="3" applyFont="1"/>
    <xf numFmtId="0" fontId="0" fillId="4" borderId="12" xfId="0" applyFill="1" applyBorder="1" applyAlignment="1">
      <alignment horizontal="center"/>
    </xf>
    <xf numFmtId="0" fontId="0" fillId="3" borderId="13" xfId="0" applyFill="1" applyBorder="1"/>
    <xf numFmtId="0" fontId="0" fillId="8" borderId="12" xfId="0" applyFill="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11" borderId="1" xfId="0" applyFill="1" applyBorder="1" applyAlignment="1">
      <alignment horizontal="center"/>
    </xf>
    <xf numFmtId="0" fontId="0" fillId="11" borderId="0" xfId="0" applyFill="1" applyAlignment="1">
      <alignment horizontal="center"/>
    </xf>
    <xf numFmtId="0" fontId="0" fillId="11" borderId="2" xfId="0" applyFill="1" applyBorder="1" applyAlignment="1">
      <alignment horizontal="center"/>
    </xf>
    <xf numFmtId="0" fontId="0" fillId="8" borderId="14" xfId="0" applyFill="1" applyBorder="1"/>
    <xf numFmtId="0" fontId="0" fillId="8" borderId="13" xfId="0" applyFill="1" applyBorder="1" applyAlignment="1">
      <alignment horizontal="center"/>
    </xf>
    <xf numFmtId="0" fontId="0" fillId="8" borderId="15" xfId="0" applyFill="1" applyBorder="1" applyAlignment="1">
      <alignment horizontal="center"/>
    </xf>
    <xf numFmtId="0" fontId="0" fillId="3" borderId="14" xfId="0" applyFill="1" applyBorder="1"/>
    <xf numFmtId="0" fontId="0" fillId="3" borderId="13" xfId="0" applyFill="1" applyBorder="1" applyAlignment="1">
      <alignment wrapText="1"/>
    </xf>
    <xf numFmtId="0" fontId="0" fillId="8" borderId="1" xfId="0" applyFill="1" applyBorder="1" applyAlignment="1">
      <alignment horizontal="center"/>
    </xf>
    <xf numFmtId="0" fontId="0" fillId="8" borderId="2" xfId="0" applyFill="1" applyBorder="1" applyAlignment="1">
      <alignment horizontal="center"/>
    </xf>
    <xf numFmtId="0" fontId="0" fillId="8" borderId="0" xfId="0" applyFill="1" applyAlignment="1">
      <alignment horizontal="center"/>
    </xf>
    <xf numFmtId="0" fontId="0" fillId="0" borderId="2" xfId="0" applyBorder="1"/>
    <xf numFmtId="0" fontId="0" fillId="3" borderId="14" xfId="0" applyFill="1" applyBorder="1" applyAlignment="1">
      <alignment wrapText="1"/>
    </xf>
    <xf numFmtId="0" fontId="0" fillId="0" borderId="4" xfId="0" applyBorder="1"/>
    <xf numFmtId="0" fontId="0" fillId="0" borderId="5" xfId="0" applyBorder="1"/>
    <xf numFmtId="0" fontId="0" fillId="4" borderId="12" xfId="0" applyFill="1" applyBorder="1" applyAlignment="1">
      <alignment horizontal="center" wrapText="1"/>
    </xf>
    <xf numFmtId="0" fontId="0" fillId="0" borderId="0" xfId="0" applyAlignment="1">
      <alignment wrapText="1"/>
    </xf>
    <xf numFmtId="0" fontId="0" fillId="8" borderId="13" xfId="0" applyFill="1" applyBorder="1" applyAlignment="1">
      <alignment horizontal="center" wrapText="1"/>
    </xf>
    <xf numFmtId="0" fontId="0" fillId="8" borderId="14" xfId="0" applyFill="1" applyBorder="1" applyAlignment="1">
      <alignment wrapText="1"/>
    </xf>
    <xf numFmtId="0" fontId="2" fillId="9" borderId="4" xfId="3" applyFont="1" applyFill="1" applyBorder="1"/>
    <xf numFmtId="0" fontId="3" fillId="12" borderId="0" xfId="3" applyFill="1"/>
    <xf numFmtId="0" fontId="3" fillId="12" borderId="2" xfId="3" applyFill="1" applyBorder="1"/>
    <xf numFmtId="164" fontId="0" fillId="0" borderId="0" xfId="4" applyFont="1" applyBorder="1"/>
    <xf numFmtId="164" fontId="3" fillId="5" borderId="0" xfId="1" applyFont="1" applyFill="1" applyBorder="1"/>
    <xf numFmtId="167" fontId="3" fillId="5" borderId="0" xfId="1" applyNumberFormat="1" applyFont="1" applyFill="1" applyBorder="1"/>
    <xf numFmtId="0" fontId="0" fillId="0" borderId="16" xfId="0" applyBorder="1"/>
    <xf numFmtId="0" fontId="0" fillId="0" borderId="17" xfId="0" applyBorder="1"/>
    <xf numFmtId="0" fontId="3" fillId="5" borderId="16" xfId="3" applyFill="1" applyBorder="1"/>
    <xf numFmtId="0" fontId="3" fillId="5" borderId="0" xfId="3" applyFill="1"/>
    <xf numFmtId="0" fontId="3" fillId="5" borderId="18" xfId="3" applyFill="1" applyBorder="1"/>
    <xf numFmtId="0" fontId="0" fillId="0" borderId="18" xfId="0" applyBorder="1"/>
    <xf numFmtId="0" fontId="2" fillId="9" borderId="19" xfId="3" applyFont="1" applyFill="1" applyBorder="1"/>
    <xf numFmtId="0" fontId="2" fillId="9" borderId="20" xfId="3" applyFont="1" applyFill="1" applyBorder="1"/>
    <xf numFmtId="0" fontId="3" fillId="12" borderId="16" xfId="3" applyFill="1" applyBorder="1"/>
    <xf numFmtId="0" fontId="3" fillId="12" borderId="17" xfId="3" applyFill="1" applyBorder="1"/>
    <xf numFmtId="0" fontId="5" fillId="12" borderId="16" xfId="3" applyFont="1" applyFill="1" applyBorder="1"/>
    <xf numFmtId="0" fontId="5" fillId="12" borderId="0" xfId="3" applyFont="1" applyFill="1"/>
    <xf numFmtId="0" fontId="5" fillId="12" borderId="17" xfId="3" applyFont="1" applyFill="1" applyBorder="1"/>
    <xf numFmtId="0" fontId="1" fillId="12" borderId="16" xfId="3" applyFont="1" applyFill="1" applyBorder="1"/>
    <xf numFmtId="0" fontId="1" fillId="12" borderId="0" xfId="3" applyFont="1" applyFill="1"/>
    <xf numFmtId="0" fontId="1" fillId="12" borderId="17" xfId="3" applyFont="1" applyFill="1" applyBorder="1"/>
    <xf numFmtId="0" fontId="3" fillId="12" borderId="25" xfId="3" applyFill="1" applyBorder="1"/>
    <xf numFmtId="0" fontId="3" fillId="12" borderId="26" xfId="3" applyFill="1" applyBorder="1"/>
    <xf numFmtId="0" fontId="3" fillId="12" borderId="27" xfId="3" applyFill="1" applyBorder="1"/>
    <xf numFmtId="0" fontId="0" fillId="11" borderId="13" xfId="0" applyFill="1" applyBorder="1"/>
    <xf numFmtId="164" fontId="0" fillId="0" borderId="0" xfId="0" applyNumberFormat="1"/>
    <xf numFmtId="164" fontId="0" fillId="12" borderId="0" xfId="1" applyFont="1" applyFill="1"/>
    <xf numFmtId="0" fontId="0" fillId="12" borderId="0" xfId="0" applyFill="1"/>
    <xf numFmtId="0" fontId="2" fillId="5" borderId="0" xfId="0" applyFont="1" applyFill="1"/>
    <xf numFmtId="164" fontId="0" fillId="13" borderId="0" xfId="1" applyFont="1" applyFill="1"/>
    <xf numFmtId="166" fontId="0" fillId="12" borderId="0" xfId="1" applyNumberFormat="1" applyFont="1" applyFill="1"/>
    <xf numFmtId="166" fontId="0" fillId="13" borderId="0" xfId="1" applyNumberFormat="1" applyFont="1" applyFill="1"/>
    <xf numFmtId="0" fontId="0" fillId="14" borderId="0" xfId="0" applyFill="1"/>
    <xf numFmtId="166" fontId="0" fillId="14" borderId="0" xfId="1" applyNumberFormat="1" applyFont="1" applyFill="1"/>
    <xf numFmtId="164" fontId="0" fillId="14" borderId="0" xfId="1" applyFont="1" applyFill="1"/>
    <xf numFmtId="164" fontId="3" fillId="5" borderId="0" xfId="3" applyNumberFormat="1" applyFill="1"/>
    <xf numFmtId="164" fontId="3" fillId="10" borderId="0" xfId="3" applyNumberFormat="1" applyFill="1"/>
    <xf numFmtId="0" fontId="3" fillId="10" borderId="17" xfId="3" applyFill="1" applyBorder="1"/>
    <xf numFmtId="0" fontId="3" fillId="10" borderId="0" xfId="3" applyFill="1"/>
    <xf numFmtId="0" fontId="2" fillId="6" borderId="20" xfId="3" applyFont="1" applyFill="1" applyBorder="1"/>
    <xf numFmtId="0" fontId="2" fillId="6" borderId="21" xfId="3" applyFont="1" applyFill="1" applyBorder="1"/>
    <xf numFmtId="0" fontId="3" fillId="5" borderId="17" xfId="3" applyFill="1" applyBorder="1"/>
    <xf numFmtId="0" fontId="0" fillId="0" borderId="0" xfId="0" applyAlignment="1">
      <alignment horizontal="center" vertical="center"/>
    </xf>
    <xf numFmtId="0" fontId="2" fillId="5" borderId="0" xfId="0" applyFont="1" applyFill="1" applyAlignment="1">
      <alignment horizontal="center" vertical="center"/>
    </xf>
    <xf numFmtId="0" fontId="3" fillId="12" borderId="3" xfId="3" applyFill="1" applyBorder="1" applyAlignment="1">
      <alignment horizontal="center" vertical="center"/>
    </xf>
    <xf numFmtId="0" fontId="3" fillId="12" borderId="4" xfId="3" applyFill="1" applyBorder="1" applyAlignment="1">
      <alignment horizontal="center" vertical="center"/>
    </xf>
    <xf numFmtId="0" fontId="0" fillId="12" borderId="4" xfId="3" applyFont="1" applyFill="1" applyBorder="1" applyAlignment="1">
      <alignment horizontal="center" vertical="center"/>
    </xf>
    <xf numFmtId="0" fontId="3" fillId="12" borderId="4" xfId="3" applyFill="1" applyBorder="1" applyAlignment="1">
      <alignment horizontal="center" vertical="center" wrapText="1"/>
    </xf>
    <xf numFmtId="0" fontId="3" fillId="12" borderId="5" xfId="3" applyFill="1" applyBorder="1" applyAlignment="1">
      <alignment horizontal="center" vertical="center"/>
    </xf>
    <xf numFmtId="0" fontId="0" fillId="0" borderId="0" xfId="0" applyAlignment="1">
      <alignment horizontal="center" vertical="center" wrapText="1"/>
    </xf>
    <xf numFmtId="167" fontId="0" fillId="12" borderId="1" xfId="1" applyNumberFormat="1" applyFont="1" applyFill="1" applyBorder="1" applyAlignment="1">
      <alignment horizontal="center" vertical="center"/>
    </xf>
    <xf numFmtId="167" fontId="0" fillId="12" borderId="0" xfId="1" applyNumberFormat="1" applyFont="1" applyFill="1" applyBorder="1" applyAlignment="1">
      <alignment horizontal="center" vertical="center"/>
    </xf>
    <xf numFmtId="167" fontId="0" fillId="12" borderId="2" xfId="1" applyNumberFormat="1" applyFont="1" applyFill="1" applyBorder="1" applyAlignment="1">
      <alignment horizontal="center" vertical="center"/>
    </xf>
    <xf numFmtId="167" fontId="0" fillId="15" borderId="0" xfId="1" applyNumberFormat="1" applyFont="1" applyFill="1" applyBorder="1" applyAlignment="1">
      <alignment horizontal="center" vertical="center"/>
    </xf>
    <xf numFmtId="2" fontId="0" fillId="0" borderId="0" xfId="0" applyNumberFormat="1" applyAlignment="1">
      <alignment horizontal="center" vertical="center"/>
    </xf>
    <xf numFmtId="2" fontId="3" fillId="16" borderId="12" xfId="3" applyNumberFormat="1" applyFill="1" applyBorder="1" applyAlignment="1">
      <alignment horizontal="center"/>
    </xf>
    <xf numFmtId="2" fontId="1" fillId="16" borderId="12" xfId="3" applyNumberFormat="1" applyFont="1" applyFill="1" applyBorder="1" applyAlignment="1">
      <alignment horizontal="center"/>
    </xf>
    <xf numFmtId="2" fontId="2" fillId="16" borderId="0" xfId="0" applyNumberFormat="1" applyFont="1" applyFill="1" applyAlignment="1">
      <alignment horizontal="center" vertical="center"/>
    </xf>
    <xf numFmtId="2" fontId="0" fillId="12" borderId="12" xfId="1" applyNumberFormat="1" applyFont="1" applyFill="1" applyBorder="1" applyAlignment="1">
      <alignment horizontal="center" vertical="center"/>
    </xf>
    <xf numFmtId="2" fontId="3" fillId="12" borderId="12" xfId="1" applyNumberFormat="1" applyFont="1" applyFill="1" applyBorder="1" applyAlignment="1">
      <alignment horizontal="center"/>
    </xf>
    <xf numFmtId="2" fontId="1" fillId="12" borderId="12" xfId="1" applyNumberFormat="1" applyFont="1" applyFill="1" applyBorder="1" applyAlignment="1">
      <alignment horizontal="center"/>
    </xf>
    <xf numFmtId="2" fontId="3" fillId="12" borderId="12" xfId="3" applyNumberFormat="1" applyFill="1" applyBorder="1" applyAlignment="1">
      <alignment horizontal="center"/>
    </xf>
    <xf numFmtId="2" fontId="1" fillId="12" borderId="12" xfId="3" applyNumberFormat="1" applyFont="1" applyFill="1" applyBorder="1" applyAlignment="1">
      <alignment horizontal="center"/>
    </xf>
    <xf numFmtId="2" fontId="0" fillId="12" borderId="12" xfId="5" applyNumberFormat="1" applyFont="1" applyFill="1" applyBorder="1" applyAlignment="1">
      <alignment horizontal="center"/>
    </xf>
    <xf numFmtId="2" fontId="0" fillId="12" borderId="12" xfId="1" applyNumberFormat="1" applyFont="1" applyFill="1" applyBorder="1" applyAlignment="1">
      <alignment horizontal="center"/>
    </xf>
    <xf numFmtId="2" fontId="0" fillId="0" borderId="0" xfId="0" applyNumberFormat="1" applyAlignment="1">
      <alignment horizontal="center" vertical="center" wrapText="1"/>
    </xf>
    <xf numFmtId="2" fontId="0" fillId="10" borderId="0" xfId="0" applyNumberFormat="1" applyFill="1" applyAlignment="1">
      <alignment horizontal="center" vertical="center"/>
    </xf>
    <xf numFmtId="0" fontId="8" fillId="0" borderId="0" xfId="3" applyFont="1"/>
    <xf numFmtId="0" fontId="8" fillId="5" borderId="28" xfId="3" applyFont="1" applyFill="1" applyBorder="1"/>
    <xf numFmtId="0" fontId="8" fillId="0" borderId="2" xfId="3" applyFont="1" applyBorder="1"/>
    <xf numFmtId="9" fontId="8" fillId="0" borderId="0" xfId="5" applyFont="1" applyBorder="1"/>
    <xf numFmtId="164" fontId="8" fillId="0" borderId="0" xfId="4" applyFont="1" applyBorder="1"/>
    <xf numFmtId="164" fontId="8" fillId="5" borderId="22" xfId="1" applyFont="1" applyFill="1" applyBorder="1"/>
    <xf numFmtId="164" fontId="8" fillId="5" borderId="23" xfId="1" applyFont="1" applyFill="1" applyBorder="1"/>
    <xf numFmtId="167" fontId="8" fillId="5" borderId="23" xfId="1" applyNumberFormat="1" applyFont="1" applyFill="1" applyBorder="1"/>
    <xf numFmtId="164" fontId="8" fillId="5" borderId="24" xfId="1" applyFont="1" applyFill="1" applyBorder="1"/>
    <xf numFmtId="0" fontId="8" fillId="5" borderId="18" xfId="3" applyFont="1" applyFill="1" applyBorder="1"/>
    <xf numFmtId="164" fontId="8" fillId="5" borderId="16" xfId="1" applyFont="1" applyFill="1" applyBorder="1"/>
    <xf numFmtId="164" fontId="8" fillId="5" borderId="0" xfId="1" applyFont="1" applyFill="1" applyBorder="1"/>
    <xf numFmtId="167" fontId="8" fillId="5" borderId="0" xfId="1" applyNumberFormat="1" applyFont="1" applyFill="1" applyBorder="1"/>
    <xf numFmtId="164" fontId="8" fillId="5" borderId="17" xfId="1" applyFont="1" applyFill="1" applyBorder="1"/>
    <xf numFmtId="0" fontId="8" fillId="0" borderId="0" xfId="3" applyFont="1" applyAlignment="1">
      <alignment horizontal="right"/>
    </xf>
    <xf numFmtId="0" fontId="8" fillId="0" borderId="26" xfId="3" applyFont="1" applyBorder="1"/>
    <xf numFmtId="0" fontId="8" fillId="5" borderId="29" xfId="3" applyFont="1" applyFill="1" applyBorder="1"/>
    <xf numFmtId="0" fontId="8" fillId="0" borderId="30" xfId="3" applyFont="1" applyBorder="1"/>
    <xf numFmtId="9" fontId="8" fillId="0" borderId="26" xfId="5" applyFont="1" applyBorder="1"/>
    <xf numFmtId="164" fontId="8" fillId="0" borderId="26" xfId="4" applyFont="1" applyBorder="1"/>
    <xf numFmtId="164" fontId="8" fillId="5" borderId="25" xfId="1" applyFont="1" applyFill="1" applyBorder="1"/>
    <xf numFmtId="164" fontId="8" fillId="5" borderId="26" xfId="1" applyFont="1" applyFill="1" applyBorder="1"/>
    <xf numFmtId="167" fontId="8" fillId="5" borderId="26" xfId="1" applyNumberFormat="1" applyFont="1" applyFill="1" applyBorder="1"/>
    <xf numFmtId="164" fontId="8" fillId="5" borderId="27" xfId="1" applyFont="1" applyFill="1" applyBorder="1"/>
    <xf numFmtId="0" fontId="8" fillId="0" borderId="31" xfId="3" applyFont="1" applyBorder="1"/>
    <xf numFmtId="0" fontId="8" fillId="0" borderId="32" xfId="3" applyFont="1" applyBorder="1"/>
    <xf numFmtId="9" fontId="8" fillId="0" borderId="32" xfId="5" applyFont="1" applyBorder="1"/>
    <xf numFmtId="0" fontId="8" fillId="0" borderId="33" xfId="3" applyFont="1" applyBorder="1"/>
    <xf numFmtId="0" fontId="9" fillId="0" borderId="33" xfId="0" applyFont="1" applyBorder="1"/>
    <xf numFmtId="0" fontId="3" fillId="12" borderId="22" xfId="3" applyFill="1" applyBorder="1"/>
    <xf numFmtId="0" fontId="3" fillId="12" borderId="23" xfId="3" applyFill="1" applyBorder="1"/>
    <xf numFmtId="0" fontId="3" fillId="12" borderId="24" xfId="3" applyFill="1" applyBorder="1"/>
    <xf numFmtId="0" fontId="0" fillId="0" borderId="0" xfId="0" applyAlignment="1">
      <alignment horizontal="left" vertical="top" wrapText="1"/>
    </xf>
    <xf numFmtId="164" fontId="0" fillId="7" borderId="0" xfId="1" applyFont="1" applyFill="1" applyAlignment="1">
      <alignment horizontal="center"/>
    </xf>
    <xf numFmtId="0" fontId="0" fillId="10" borderId="0" xfId="0" applyFill="1"/>
    <xf numFmtId="0" fontId="3" fillId="10" borderId="28" xfId="3" applyFill="1" applyBorder="1"/>
    <xf numFmtId="0" fontId="2" fillId="0" borderId="0" xfId="0" applyFont="1"/>
    <xf numFmtId="0" fontId="0" fillId="10" borderId="18" xfId="3" applyFont="1" applyFill="1" applyBorder="1"/>
    <xf numFmtId="0" fontId="0" fillId="12" borderId="17" xfId="3" applyFont="1" applyFill="1" applyBorder="1"/>
    <xf numFmtId="0" fontId="0" fillId="8" borderId="10" xfId="0" applyFill="1" applyBorder="1" applyAlignment="1">
      <alignment horizontal="center"/>
    </xf>
    <xf numFmtId="0" fontId="0" fillId="8" borderId="9" xfId="0" applyFill="1" applyBorder="1" applyAlignment="1">
      <alignment horizontal="center"/>
    </xf>
    <xf numFmtId="0" fontId="0" fillId="8" borderId="11" xfId="0" applyFill="1" applyBorder="1" applyAlignment="1">
      <alignment horizontal="center"/>
    </xf>
    <xf numFmtId="0" fontId="0" fillId="10" borderId="25" xfId="0" applyFill="1" applyBorder="1"/>
    <xf numFmtId="0" fontId="0" fillId="0" borderId="12" xfId="0" applyBorder="1"/>
    <xf numFmtId="0" fontId="0" fillId="10" borderId="22" xfId="0" applyFill="1" applyBorder="1"/>
    <xf numFmtId="0" fontId="0" fillId="10" borderId="16" xfId="0" applyFill="1" applyBorder="1"/>
    <xf numFmtId="0" fontId="0" fillId="0" borderId="8" xfId="0" applyBorder="1"/>
    <xf numFmtId="0" fontId="3" fillId="10" borderId="29" xfId="3" applyFill="1"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2" fillId="0" borderId="34" xfId="0" applyFont="1" applyBorder="1"/>
    <xf numFmtId="0" fontId="0" fillId="0" borderId="3" xfId="0" applyBorder="1"/>
    <xf numFmtId="0" fontId="0" fillId="0" borderId="1" xfId="0" applyBorder="1"/>
    <xf numFmtId="0" fontId="0" fillId="11" borderId="17" xfId="0" applyFill="1" applyBorder="1"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10" fillId="8" borderId="28" xfId="0" applyFont="1" applyFill="1" applyBorder="1" applyAlignment="1">
      <alignment horizontal="center"/>
    </xf>
    <xf numFmtId="0" fontId="10" fillId="8" borderId="18" xfId="0" applyFont="1" applyFill="1" applyBorder="1" applyAlignment="1">
      <alignment horizontal="center"/>
    </xf>
    <xf numFmtId="0" fontId="10" fillId="8" borderId="29" xfId="0" applyFont="1" applyFill="1" applyBorder="1" applyAlignment="1">
      <alignment horizontal="center"/>
    </xf>
    <xf numFmtId="0" fontId="0" fillId="3" borderId="18" xfId="0" applyFill="1" applyBorder="1" applyAlignment="1">
      <alignment horizontal="center"/>
    </xf>
    <xf numFmtId="0" fontId="0" fillId="3" borderId="29" xfId="0" applyFill="1" applyBorder="1" applyAlignment="1">
      <alignment horizontal="center"/>
    </xf>
    <xf numFmtId="0" fontId="0" fillId="4" borderId="28" xfId="0" applyFill="1" applyBorder="1" applyAlignment="1">
      <alignment horizontal="center"/>
    </xf>
    <xf numFmtId="0" fontId="0" fillId="11" borderId="34" xfId="0" applyFill="1" applyBorder="1" applyAlignment="1">
      <alignment horizontal="center"/>
    </xf>
    <xf numFmtId="0" fontId="0" fillId="11" borderId="20" xfId="0" applyFill="1" applyBorder="1" applyAlignment="1">
      <alignment horizontal="center"/>
    </xf>
    <xf numFmtId="0" fontId="0" fillId="11" borderId="21" xfId="0" applyFill="1" applyBorder="1" applyAlignment="1">
      <alignment horizontal="center"/>
    </xf>
    <xf numFmtId="0" fontId="0" fillId="3" borderId="44" xfId="0" applyFill="1" applyBorder="1"/>
    <xf numFmtId="0" fontId="0" fillId="3" borderId="45" xfId="0" applyFill="1" applyBorder="1"/>
    <xf numFmtId="0" fontId="0" fillId="0" borderId="46" xfId="0" applyBorder="1" applyAlignment="1">
      <alignment horizontal="center"/>
    </xf>
    <xf numFmtId="0" fontId="0" fillId="4" borderId="42"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6" borderId="6" xfId="0" applyFill="1" applyBorder="1" applyAlignment="1">
      <alignment horizontal="center" wrapText="1"/>
    </xf>
    <xf numFmtId="0" fontId="0" fillId="6" borderId="7" xfId="0" applyFill="1" applyBorder="1" applyAlignment="1">
      <alignment horizontal="center" wrapText="1"/>
    </xf>
    <xf numFmtId="0" fontId="0" fillId="6" borderId="8" xfId="0" applyFill="1" applyBorder="1" applyAlignment="1">
      <alignment horizontal="center" wrapText="1"/>
    </xf>
    <xf numFmtId="0" fontId="0" fillId="0" borderId="10" xfId="0" applyBorder="1" applyAlignment="1">
      <alignment horizontal="center" vertical="top" wrapText="1"/>
    </xf>
    <xf numFmtId="0" fontId="0" fillId="0" borderId="9" xfId="0" applyBorder="1" applyAlignment="1">
      <alignment horizontal="center" vertical="top" wrapText="1"/>
    </xf>
    <xf numFmtId="0" fontId="0" fillId="0" borderId="11" xfId="0" applyBorder="1" applyAlignment="1">
      <alignment horizontal="center"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6" borderId="10"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5" borderId="10"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10" borderId="10"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23" xfId="0" applyFill="1" applyBorder="1" applyAlignment="1">
      <alignment horizontal="center"/>
    </xf>
    <xf numFmtId="0" fontId="0" fillId="10" borderId="24" xfId="0" applyFill="1" applyBorder="1" applyAlignment="1">
      <alignment horizontal="center"/>
    </xf>
    <xf numFmtId="0" fontId="0" fillId="8" borderId="43" xfId="0" applyFill="1" applyBorder="1" applyAlignment="1">
      <alignment horizontal="center"/>
    </xf>
    <xf numFmtId="0" fontId="0" fillId="8" borderId="23" xfId="0" applyFill="1" applyBorder="1" applyAlignment="1">
      <alignment horizontal="center"/>
    </xf>
    <xf numFmtId="0" fontId="0" fillId="8" borderId="24" xfId="0" applyFill="1" applyBorder="1" applyAlignment="1">
      <alignment horizontal="center"/>
    </xf>
    <xf numFmtId="0" fontId="0" fillId="8" borderId="28" xfId="0" applyFill="1" applyBorder="1" applyAlignment="1">
      <alignment horizontal="center" wrapText="1"/>
    </xf>
    <xf numFmtId="0" fontId="0" fillId="8" borderId="29" xfId="0" applyFill="1" applyBorder="1" applyAlignment="1">
      <alignment horizontal="center"/>
    </xf>
    <xf numFmtId="0" fontId="0" fillId="8" borderId="10" xfId="0" applyFill="1" applyBorder="1" applyAlignment="1">
      <alignment horizontal="center"/>
    </xf>
    <xf numFmtId="0" fontId="0" fillId="8" borderId="9" xfId="0" applyFill="1" applyBorder="1" applyAlignment="1">
      <alignment horizontal="center"/>
    </xf>
    <xf numFmtId="0" fontId="0" fillId="8" borderId="11" xfId="0" applyFill="1" applyBorder="1" applyAlignment="1">
      <alignment horizontal="center"/>
    </xf>
    <xf numFmtId="164" fontId="0" fillId="7" borderId="0" xfId="1" applyFont="1" applyFill="1" applyAlignment="1">
      <alignment horizontal="center"/>
    </xf>
    <xf numFmtId="164" fontId="0" fillId="9" borderId="0" xfId="1" applyFont="1" applyFill="1" applyAlignment="1">
      <alignment horizontal="center"/>
    </xf>
    <xf numFmtId="164" fontId="0" fillId="5" borderId="0" xfId="1" applyFont="1" applyFill="1" applyAlignment="1">
      <alignment horizontal="center"/>
    </xf>
  </cellXfs>
  <cellStyles count="6">
    <cellStyle name="Comma" xfId="1" builtinId="3"/>
    <cellStyle name="Comma 2" xfId="4" xr:uid="{A645DA77-93BB-4937-8477-691D9C31F18E}"/>
    <cellStyle name="Normal" xfId="0" builtinId="0"/>
    <cellStyle name="Normal 2" xfId="3" xr:uid="{9898E1EE-352A-4B14-9213-7461E87F48A9}"/>
    <cellStyle name="Percent" xfId="2" builtinId="5"/>
    <cellStyle name="Percent 2" xfId="5" xr:uid="{0535839D-443F-4354-829A-FCC224CB6303}"/>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8C54-193F-446E-A938-A4743D539F28}">
  <sheetPr codeName="Sheet1"/>
  <dimension ref="B1:J26"/>
  <sheetViews>
    <sheetView zoomScale="190" zoomScaleNormal="190" workbookViewId="0">
      <selection activeCell="G10" sqref="G10:J16"/>
    </sheetView>
  </sheetViews>
  <sheetFormatPr defaultColWidth="9.1796875" defaultRowHeight="14.5" x14ac:dyDescent="0.35"/>
  <cols>
    <col min="1" max="1" width="1" style="1" customWidth="1"/>
    <col min="2" max="2" width="22" style="1" bestFit="1" customWidth="1"/>
    <col min="3" max="4" width="9.1796875" style="1"/>
    <col min="5" max="5" width="11.26953125" style="1" customWidth="1"/>
    <col min="6" max="6" width="2.1796875" style="1" customWidth="1"/>
    <col min="7" max="7" width="20.54296875" style="1" customWidth="1"/>
    <col min="8" max="9" width="9.1796875" style="1"/>
    <col min="10" max="10" width="20.54296875" style="1" customWidth="1"/>
    <col min="11" max="16384" width="9.1796875" style="1"/>
  </cols>
  <sheetData>
    <row r="1" spans="2:10" ht="4.5" customHeight="1" x14ac:dyDescent="0.35"/>
    <row r="2" spans="2:10" x14ac:dyDescent="0.35">
      <c r="B2" s="220" t="s">
        <v>0</v>
      </c>
      <c r="C2" s="221"/>
      <c r="D2" s="221"/>
      <c r="E2" s="222"/>
      <c r="G2" s="211" t="s">
        <v>1</v>
      </c>
      <c r="H2" s="212"/>
      <c r="I2" s="212"/>
      <c r="J2" s="213"/>
    </row>
    <row r="3" spans="2:10" x14ac:dyDescent="0.35">
      <c r="B3" s="223"/>
      <c r="C3" s="224"/>
      <c r="D3" s="224"/>
      <c r="E3" s="225"/>
      <c r="G3" s="214"/>
      <c r="H3" s="215"/>
      <c r="I3" s="215"/>
      <c r="J3" s="216"/>
    </row>
    <row r="4" spans="2:10" ht="4.5" customHeight="1" x14ac:dyDescent="0.35"/>
    <row r="5" spans="2:10" x14ac:dyDescent="0.35">
      <c r="B5" s="190" t="s">
        <v>2</v>
      </c>
      <c r="C5" s="191"/>
      <c r="D5" s="191"/>
      <c r="E5" s="192"/>
      <c r="G5" s="217" t="s">
        <v>3</v>
      </c>
      <c r="H5" s="218"/>
      <c r="I5" s="218"/>
      <c r="J5" s="219"/>
    </row>
    <row r="6" spans="2:10" ht="15" customHeight="1" x14ac:dyDescent="0.35">
      <c r="B6" s="202" t="s">
        <v>4</v>
      </c>
      <c r="C6" s="203"/>
      <c r="D6" s="203"/>
      <c r="E6" s="204"/>
      <c r="G6" s="202" t="s">
        <v>5</v>
      </c>
      <c r="H6" s="203"/>
      <c r="I6" s="203"/>
      <c r="J6" s="204"/>
    </row>
    <row r="7" spans="2:10" x14ac:dyDescent="0.35">
      <c r="B7" s="205"/>
      <c r="C7" s="206"/>
      <c r="D7" s="206"/>
      <c r="E7" s="207"/>
      <c r="G7" s="208"/>
      <c r="H7" s="209"/>
      <c r="I7" s="209"/>
      <c r="J7" s="210"/>
    </row>
    <row r="8" spans="2:10" x14ac:dyDescent="0.35">
      <c r="B8" s="205"/>
      <c r="C8" s="206"/>
      <c r="D8" s="206"/>
      <c r="E8" s="207"/>
    </row>
    <row r="9" spans="2:10" x14ac:dyDescent="0.35">
      <c r="B9" s="205"/>
      <c r="C9" s="206"/>
      <c r="D9" s="206"/>
      <c r="E9" s="207"/>
      <c r="G9" s="199" t="s">
        <v>6</v>
      </c>
      <c r="H9" s="200"/>
      <c r="I9" s="200"/>
      <c r="J9" s="201"/>
    </row>
    <row r="10" spans="2:10" x14ac:dyDescent="0.35">
      <c r="B10" s="205"/>
      <c r="C10" s="206"/>
      <c r="D10" s="206"/>
      <c r="E10" s="207"/>
      <c r="G10" s="202" t="s">
        <v>7</v>
      </c>
      <c r="H10" s="203"/>
      <c r="I10" s="203"/>
      <c r="J10" s="204"/>
    </row>
    <row r="11" spans="2:10" x14ac:dyDescent="0.35">
      <c r="B11" s="205"/>
      <c r="C11" s="206"/>
      <c r="D11" s="206"/>
      <c r="E11" s="207"/>
      <c r="G11" s="205"/>
      <c r="H11" s="206"/>
      <c r="I11" s="206"/>
      <c r="J11" s="207"/>
    </row>
    <row r="12" spans="2:10" x14ac:dyDescent="0.35">
      <c r="B12" s="208"/>
      <c r="C12" s="209"/>
      <c r="D12" s="209"/>
      <c r="E12" s="210"/>
      <c r="G12" s="205"/>
      <c r="H12" s="206"/>
      <c r="I12" s="206"/>
      <c r="J12" s="207"/>
    </row>
    <row r="13" spans="2:10" ht="6.75" customHeight="1" x14ac:dyDescent="0.35">
      <c r="B13" s="147"/>
      <c r="C13" s="147"/>
      <c r="D13" s="147"/>
      <c r="E13" s="147"/>
      <c r="G13" s="205"/>
      <c r="H13" s="206"/>
      <c r="I13" s="206"/>
      <c r="J13" s="207"/>
    </row>
    <row r="14" spans="2:10" x14ac:dyDescent="0.35">
      <c r="B14" s="190" t="s">
        <v>8</v>
      </c>
      <c r="C14" s="191"/>
      <c r="D14" s="191"/>
      <c r="E14" s="192"/>
      <c r="G14" s="205"/>
      <c r="H14" s="206"/>
      <c r="I14" s="206"/>
      <c r="J14" s="207"/>
    </row>
    <row r="15" spans="2:10" ht="15" customHeight="1" x14ac:dyDescent="0.35">
      <c r="B15" s="193" t="s">
        <v>9</v>
      </c>
      <c r="C15" s="194"/>
      <c r="D15" s="194"/>
      <c r="E15" s="195"/>
      <c r="G15" s="205"/>
      <c r="H15" s="206"/>
      <c r="I15" s="206"/>
      <c r="J15" s="207"/>
    </row>
    <row r="16" spans="2:10" x14ac:dyDescent="0.35">
      <c r="B16" s="193"/>
      <c r="C16" s="194"/>
      <c r="D16" s="194"/>
      <c r="E16" s="195"/>
      <c r="G16" s="208"/>
      <c r="H16" s="209"/>
      <c r="I16" s="209"/>
      <c r="J16" s="210"/>
    </row>
    <row r="17" spans="2:5" x14ac:dyDescent="0.35">
      <c r="B17" s="193"/>
      <c r="C17" s="194"/>
      <c r="D17" s="194"/>
      <c r="E17" s="195"/>
    </row>
    <row r="18" spans="2:5" x14ac:dyDescent="0.35">
      <c r="B18" s="193"/>
      <c r="C18" s="194"/>
      <c r="D18" s="194"/>
      <c r="E18" s="195"/>
    </row>
    <row r="19" spans="2:5" x14ac:dyDescent="0.35">
      <c r="B19" s="196"/>
      <c r="C19" s="197"/>
      <c r="D19" s="197"/>
      <c r="E19" s="198"/>
    </row>
    <row r="21" spans="2:5" x14ac:dyDescent="0.35">
      <c r="B21" s="190" t="s">
        <v>10</v>
      </c>
      <c r="C21" s="191"/>
      <c r="D21" s="191"/>
      <c r="E21" s="192"/>
    </row>
    <row r="22" spans="2:5" x14ac:dyDescent="0.35">
      <c r="B22" s="193" t="s">
        <v>11</v>
      </c>
      <c r="C22" s="194"/>
      <c r="D22" s="194"/>
      <c r="E22" s="195"/>
    </row>
    <row r="23" spans="2:5" x14ac:dyDescent="0.35">
      <c r="B23" s="193"/>
      <c r="C23" s="194"/>
      <c r="D23" s="194"/>
      <c r="E23" s="195"/>
    </row>
    <row r="24" spans="2:5" x14ac:dyDescent="0.35">
      <c r="B24" s="193"/>
      <c r="C24" s="194"/>
      <c r="D24" s="194"/>
      <c r="E24" s="195"/>
    </row>
    <row r="25" spans="2:5" x14ac:dyDescent="0.35">
      <c r="B25" s="193"/>
      <c r="C25" s="194"/>
      <c r="D25" s="194"/>
      <c r="E25" s="195"/>
    </row>
    <row r="26" spans="2:5" x14ac:dyDescent="0.35">
      <c r="B26" s="196"/>
      <c r="C26" s="197"/>
      <c r="D26" s="197"/>
      <c r="E26" s="198"/>
    </row>
  </sheetData>
  <mergeCells count="12">
    <mergeCell ref="B21:E21"/>
    <mergeCell ref="B22:E26"/>
    <mergeCell ref="G9:J9"/>
    <mergeCell ref="G10:J16"/>
    <mergeCell ref="G2:J3"/>
    <mergeCell ref="G5:J5"/>
    <mergeCell ref="G6:J7"/>
    <mergeCell ref="B5:E5"/>
    <mergeCell ref="B14:E14"/>
    <mergeCell ref="B15:E19"/>
    <mergeCell ref="B6:E12"/>
    <mergeCell ref="B2: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AAC8F-CB12-44E8-AF8B-D6C0728F6635}">
  <sheetPr codeName="Sheet2"/>
  <dimension ref="A1:EJ453"/>
  <sheetViews>
    <sheetView tabSelected="1" zoomScale="160" zoomScaleNormal="160" workbookViewId="0">
      <pane xSplit="3" ySplit="1" topLeftCell="D2" activePane="bottomRight" state="frozen"/>
      <selection pane="topRight" activeCell="D1" sqref="D1"/>
      <selection pane="bottomLeft" activeCell="A2" sqref="A2"/>
      <selection pane="bottomRight" activeCell="C9" sqref="C9"/>
    </sheetView>
  </sheetViews>
  <sheetFormatPr defaultColWidth="12.54296875" defaultRowHeight="15" customHeight="1" x14ac:dyDescent="0.35"/>
  <cols>
    <col min="1" max="1" width="17.7265625" style="48" bestFit="1" customWidth="1"/>
    <col min="2" max="2" width="9.453125" style="48" bestFit="1" customWidth="1"/>
    <col min="3" max="3" width="22" style="49" customWidth="1"/>
    <col min="4" max="4" width="9" style="13" customWidth="1"/>
    <col min="5" max="5" width="9.7265625" style="13" customWidth="1"/>
    <col min="6" max="6" width="10.7265625" style="13" customWidth="1"/>
    <col min="7" max="7" width="5.81640625" style="13" customWidth="1"/>
    <col min="8" max="8" width="11.54296875" style="57" customWidth="1"/>
    <col min="9" max="9" width="14.26953125" style="13" customWidth="1"/>
    <col min="10" max="10" width="13.1796875" style="16" customWidth="1"/>
    <col min="11" max="11" width="5.90625" style="13" bestFit="1" customWidth="1"/>
    <col min="12" max="12" width="14.81640625" style="13" customWidth="1"/>
    <col min="13" max="15" width="16.453125" style="13" customWidth="1"/>
    <col min="16" max="16" width="16.453125" style="57" customWidth="1"/>
    <col min="17" max="17" width="14.453125" style="16" customWidth="1"/>
    <col min="18" max="18" width="30" style="16" customWidth="1"/>
    <col min="19" max="19" width="15" style="13" customWidth="1"/>
    <col min="20" max="20" width="12.7265625" style="13" customWidth="1"/>
    <col min="21" max="21" width="13" style="15" customWidth="1"/>
    <col min="22" max="22" width="14.453125" style="15" customWidth="1"/>
    <col min="23" max="23" width="14.1796875" style="15" customWidth="1"/>
    <col min="24" max="24" width="7.1796875" style="14" customWidth="1"/>
    <col min="25" max="25" width="8.1796875" style="50" customWidth="1"/>
    <col min="26" max="26" width="8.54296875" style="55" customWidth="1"/>
    <col min="27" max="27" width="12" style="56" customWidth="1"/>
    <col min="28" max="28" width="12.81640625" style="52" bestFit="1" customWidth="1"/>
    <col min="29" max="29" width="12.81640625" style="51" customWidth="1"/>
    <col min="30" max="30" width="11.7265625" style="51" bestFit="1" customWidth="1"/>
    <col min="31" max="31" width="10.81640625" style="56" customWidth="1"/>
    <col min="32" max="32" width="16.7265625" style="56" bestFit="1" customWidth="1"/>
    <col min="33" max="33" width="18.1796875" style="89" bestFit="1" customWidth="1"/>
    <col min="34" max="36" width="8.54296875" customWidth="1"/>
    <col min="141" max="16384" width="12.54296875" style="13"/>
  </cols>
  <sheetData>
    <row r="1" spans="1:140" s="47" customFormat="1" thickBot="1" x14ac:dyDescent="0.4">
      <c r="A1" s="59" t="s">
        <v>12</v>
      </c>
      <c r="B1" s="60" t="s">
        <v>13</v>
      </c>
      <c r="C1" s="60" t="s">
        <v>14</v>
      </c>
      <c r="D1" s="60" t="s">
        <v>15</v>
      </c>
      <c r="E1" s="60" t="s">
        <v>16</v>
      </c>
      <c r="F1" s="60" t="s">
        <v>17</v>
      </c>
      <c r="G1" s="60" t="s">
        <v>18</v>
      </c>
      <c r="H1" s="60" t="s">
        <v>19</v>
      </c>
      <c r="I1" s="60" t="s">
        <v>20</v>
      </c>
      <c r="J1" s="60" t="s">
        <v>21</v>
      </c>
      <c r="K1" s="60" t="s">
        <v>22</v>
      </c>
      <c r="L1" s="60" t="s">
        <v>23</v>
      </c>
      <c r="M1" s="60" t="s">
        <v>24</v>
      </c>
      <c r="N1" s="60" t="s">
        <v>25</v>
      </c>
      <c r="O1" s="60" t="s">
        <v>26</v>
      </c>
      <c r="P1" s="60" t="s">
        <v>27</v>
      </c>
      <c r="Q1" s="60" t="s">
        <v>28</v>
      </c>
      <c r="R1" s="60" t="s">
        <v>29</v>
      </c>
      <c r="S1" s="60" t="s">
        <v>30</v>
      </c>
      <c r="T1" s="60" t="s">
        <v>31</v>
      </c>
      <c r="U1" s="60" t="s">
        <v>32</v>
      </c>
      <c r="V1" s="60" t="s">
        <v>33</v>
      </c>
      <c r="W1" s="60" t="s">
        <v>34</v>
      </c>
      <c r="X1" s="60" t="s">
        <v>35</v>
      </c>
      <c r="Y1" s="60" t="s">
        <v>36</v>
      </c>
      <c r="Z1" s="60" t="s">
        <v>37</v>
      </c>
      <c r="AA1" s="60" t="s">
        <v>38</v>
      </c>
      <c r="AB1" s="60" t="s">
        <v>39</v>
      </c>
      <c r="AC1" s="60" t="s">
        <v>40</v>
      </c>
      <c r="AD1" s="60" t="s">
        <v>41</v>
      </c>
      <c r="AE1" s="60" t="s">
        <v>42</v>
      </c>
      <c r="AF1" s="87" t="s">
        <v>43</v>
      </c>
      <c r="AG1" s="88" t="s">
        <v>44</v>
      </c>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row>
    <row r="2" spans="1:140" s="17" customFormat="1" ht="14.5" x14ac:dyDescent="0.35">
      <c r="A2" s="144" t="s">
        <v>45</v>
      </c>
      <c r="B2" s="145" t="s">
        <v>46</v>
      </c>
      <c r="C2" s="146" t="s">
        <v>47</v>
      </c>
      <c r="D2" s="115"/>
      <c r="E2" s="115"/>
      <c r="F2" s="115"/>
      <c r="G2" s="115"/>
      <c r="H2" s="116">
        <f t="shared" ref="H2:H33" si="0">SUM(D2:F2)</f>
        <v>0</v>
      </c>
      <c r="I2" s="115"/>
      <c r="J2" s="117"/>
      <c r="K2" s="115">
        <v>70</v>
      </c>
      <c r="L2" s="115">
        <v>15</v>
      </c>
      <c r="M2" s="115"/>
      <c r="N2" s="115"/>
      <c r="O2" s="115"/>
      <c r="P2" s="116">
        <f t="shared" ref="P2:P33" si="1">SUBTOTAL(9,L2:N2)</f>
        <v>15</v>
      </c>
      <c r="Q2" s="117">
        <v>2.2000000000000002</v>
      </c>
      <c r="R2" s="115"/>
      <c r="S2" s="142"/>
      <c r="T2" s="115"/>
      <c r="U2" s="118">
        <v>0.15</v>
      </c>
      <c r="V2" s="118">
        <v>0.2</v>
      </c>
      <c r="W2" s="118">
        <v>0.99</v>
      </c>
      <c r="X2" s="115"/>
      <c r="Y2" s="119">
        <v>5</v>
      </c>
      <c r="Z2" s="120">
        <f t="shared" ref="Z2:Z9" si="2">IFERROR(P2/Q2,0)</f>
        <v>6.8181818181818175</v>
      </c>
      <c r="AA2" s="121">
        <f t="shared" ref="AA2:AA33" si="3">IFERROR(O2/Q2,0)</f>
        <v>0</v>
      </c>
      <c r="AB2" s="122">
        <f t="shared" ref="AB2:AB33" si="4">IFERROR(Z2/H2,0)</f>
        <v>0</v>
      </c>
      <c r="AC2" s="121">
        <f t="shared" ref="AC2:AC33" si="5">IFERROR(Z2/I2,0)</f>
        <v>0</v>
      </c>
      <c r="AD2" s="121">
        <f t="shared" ref="AD2:AD33" si="6">IFERROR(K2/H2,0)</f>
        <v>0</v>
      </c>
      <c r="AE2" s="121">
        <f t="shared" ref="AE2:AE33" si="7">IFERROR(K2/I2,0)</f>
        <v>0</v>
      </c>
      <c r="AF2" s="121">
        <f t="shared" ref="AF2:AF33" si="8">IFERROR((K2/(1-U2))/H2,0)</f>
        <v>0</v>
      </c>
      <c r="AG2" s="123">
        <f t="shared" ref="AG2:AG33" si="9">IFERROR((K2/(1-V2))/H2,0)</f>
        <v>0</v>
      </c>
      <c r="AH2" s="73"/>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17" customFormat="1" ht="14.5" x14ac:dyDescent="0.35">
      <c r="A3" s="61" t="s">
        <v>45</v>
      </c>
      <c r="B3" s="48" t="s">
        <v>46</v>
      </c>
      <c r="C3" s="62" t="s">
        <v>48</v>
      </c>
      <c r="D3" s="115"/>
      <c r="E3" s="115"/>
      <c r="F3" s="115"/>
      <c r="G3" s="115"/>
      <c r="H3" s="124">
        <f t="shared" si="0"/>
        <v>0</v>
      </c>
      <c r="I3" s="115"/>
      <c r="J3" s="117"/>
      <c r="K3" s="115">
        <v>40</v>
      </c>
      <c r="L3" s="115">
        <v>5</v>
      </c>
      <c r="M3" s="115"/>
      <c r="N3" s="115"/>
      <c r="O3" s="115"/>
      <c r="P3" s="124">
        <f t="shared" si="1"/>
        <v>5</v>
      </c>
      <c r="Q3" s="117">
        <v>1</v>
      </c>
      <c r="R3" s="115"/>
      <c r="S3" s="142"/>
      <c r="T3" s="115"/>
      <c r="U3" s="118">
        <v>0.35</v>
      </c>
      <c r="V3" s="118">
        <v>0.2</v>
      </c>
      <c r="W3" s="118">
        <v>0.99</v>
      </c>
      <c r="X3" s="115"/>
      <c r="Y3" s="119">
        <v>3.3</v>
      </c>
      <c r="Z3" s="125">
        <f t="shared" si="2"/>
        <v>5</v>
      </c>
      <c r="AA3" s="126">
        <f t="shared" si="3"/>
        <v>0</v>
      </c>
      <c r="AB3" s="127">
        <f t="shared" si="4"/>
        <v>0</v>
      </c>
      <c r="AC3" s="126">
        <f t="shared" si="5"/>
        <v>0</v>
      </c>
      <c r="AD3" s="126">
        <f t="shared" si="6"/>
        <v>0</v>
      </c>
      <c r="AE3" s="126">
        <f t="shared" si="7"/>
        <v>0</v>
      </c>
      <c r="AF3" s="126">
        <f t="shared" si="8"/>
        <v>0</v>
      </c>
      <c r="AG3" s="128">
        <f t="shared" si="9"/>
        <v>0</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17" customFormat="1" ht="14.5" x14ac:dyDescent="0.35">
      <c r="A4" s="61" t="s">
        <v>49</v>
      </c>
      <c r="B4" s="48" t="s">
        <v>50</v>
      </c>
      <c r="C4" s="62" t="s">
        <v>51</v>
      </c>
      <c r="D4" s="115">
        <v>180</v>
      </c>
      <c r="E4" s="115"/>
      <c r="F4" s="115">
        <v>70</v>
      </c>
      <c r="G4" s="115"/>
      <c r="H4" s="124">
        <f t="shared" si="0"/>
        <v>250</v>
      </c>
      <c r="I4" s="115">
        <v>5</v>
      </c>
      <c r="J4" s="117">
        <v>17</v>
      </c>
      <c r="K4" s="115">
        <v>495</v>
      </c>
      <c r="L4" s="115">
        <v>22</v>
      </c>
      <c r="M4" s="115"/>
      <c r="N4" s="115"/>
      <c r="O4" s="115"/>
      <c r="P4" s="124">
        <f t="shared" si="1"/>
        <v>22</v>
      </c>
      <c r="Q4" s="117">
        <v>1.4</v>
      </c>
      <c r="R4" s="115" t="s">
        <v>52</v>
      </c>
      <c r="S4" s="142"/>
      <c r="T4" s="115"/>
      <c r="U4" s="118">
        <v>0.25</v>
      </c>
      <c r="V4" s="118">
        <v>0.4</v>
      </c>
      <c r="W4" s="118">
        <v>0.99</v>
      </c>
      <c r="X4" s="115"/>
      <c r="Y4" s="119">
        <v>2.9</v>
      </c>
      <c r="Z4" s="125">
        <f t="shared" si="2"/>
        <v>15.714285714285715</v>
      </c>
      <c r="AA4" s="126">
        <f t="shared" si="3"/>
        <v>0</v>
      </c>
      <c r="AB4" s="127">
        <f t="shared" si="4"/>
        <v>6.2857142857142861E-2</v>
      </c>
      <c r="AC4" s="126">
        <f t="shared" si="5"/>
        <v>3.1428571428571432</v>
      </c>
      <c r="AD4" s="126">
        <f t="shared" si="6"/>
        <v>1.98</v>
      </c>
      <c r="AE4" s="126">
        <f t="shared" si="7"/>
        <v>99</v>
      </c>
      <c r="AF4" s="126">
        <f t="shared" si="8"/>
        <v>2.64</v>
      </c>
      <c r="AG4" s="128">
        <f t="shared" si="9"/>
        <v>3.3</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s="17" customFormat="1" ht="14.5" x14ac:dyDescent="0.35">
      <c r="A5" s="61" t="s">
        <v>53</v>
      </c>
      <c r="B5" s="48" t="s">
        <v>54</v>
      </c>
      <c r="C5" s="62" t="s">
        <v>55</v>
      </c>
      <c r="D5" s="115">
        <v>55</v>
      </c>
      <c r="E5" s="115"/>
      <c r="F5" s="115">
        <v>30</v>
      </c>
      <c r="G5" s="115"/>
      <c r="H5" s="124">
        <f t="shared" si="0"/>
        <v>85</v>
      </c>
      <c r="I5" s="115">
        <v>2</v>
      </c>
      <c r="J5" s="117">
        <v>14</v>
      </c>
      <c r="K5" s="115">
        <v>110</v>
      </c>
      <c r="L5" s="115">
        <v>7</v>
      </c>
      <c r="M5" s="115"/>
      <c r="N5" s="115"/>
      <c r="O5" s="115"/>
      <c r="P5" s="124">
        <f t="shared" si="1"/>
        <v>7</v>
      </c>
      <c r="Q5" s="117">
        <v>0.8</v>
      </c>
      <c r="R5" s="115"/>
      <c r="S5" s="142"/>
      <c r="T5" s="115"/>
      <c r="U5" s="118">
        <v>0.4</v>
      </c>
      <c r="V5" s="118">
        <v>0.1</v>
      </c>
      <c r="W5" s="118">
        <v>0.99</v>
      </c>
      <c r="X5" s="115"/>
      <c r="Y5" s="119">
        <v>4.5</v>
      </c>
      <c r="Z5" s="125">
        <f t="shared" si="2"/>
        <v>8.75</v>
      </c>
      <c r="AA5" s="126">
        <f t="shared" si="3"/>
        <v>0</v>
      </c>
      <c r="AB5" s="127">
        <f t="shared" si="4"/>
        <v>0.10294117647058823</v>
      </c>
      <c r="AC5" s="126">
        <f t="shared" si="5"/>
        <v>4.375</v>
      </c>
      <c r="AD5" s="126">
        <f t="shared" si="6"/>
        <v>1.2941176470588236</v>
      </c>
      <c r="AE5" s="126">
        <f t="shared" si="7"/>
        <v>55</v>
      </c>
      <c r="AF5" s="126">
        <f t="shared" si="8"/>
        <v>2.1568627450980395</v>
      </c>
      <c r="AG5" s="128">
        <f t="shared" si="9"/>
        <v>1.4379084967320261</v>
      </c>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row>
    <row r="6" spans="1:140" s="17" customFormat="1" ht="14.5" x14ac:dyDescent="0.35">
      <c r="A6" s="61" t="s">
        <v>56</v>
      </c>
      <c r="B6" s="48" t="s">
        <v>54</v>
      </c>
      <c r="C6" s="62" t="s">
        <v>57</v>
      </c>
      <c r="D6" s="115"/>
      <c r="E6" s="115"/>
      <c r="F6" s="115">
        <v>250</v>
      </c>
      <c r="G6" s="115">
        <v>4</v>
      </c>
      <c r="H6" s="124">
        <f t="shared" si="0"/>
        <v>250</v>
      </c>
      <c r="I6" s="115">
        <v>4</v>
      </c>
      <c r="J6" s="117">
        <v>30</v>
      </c>
      <c r="K6" s="115">
        <v>760</v>
      </c>
      <c r="L6" s="115">
        <v>40</v>
      </c>
      <c r="M6" s="115"/>
      <c r="N6" s="115"/>
      <c r="O6" s="115"/>
      <c r="P6" s="124">
        <f t="shared" si="1"/>
        <v>40</v>
      </c>
      <c r="Q6" s="117">
        <v>1.5</v>
      </c>
      <c r="R6" s="115" t="s">
        <v>58</v>
      </c>
      <c r="S6" s="142"/>
      <c r="T6" s="115" t="s">
        <v>59</v>
      </c>
      <c r="U6" s="118">
        <v>0.6</v>
      </c>
      <c r="V6" s="118">
        <v>0.7</v>
      </c>
      <c r="W6" s="118">
        <v>0.8</v>
      </c>
      <c r="X6" s="115"/>
      <c r="Y6" s="119">
        <v>4.0999999999999996</v>
      </c>
      <c r="Z6" s="125">
        <f t="shared" si="2"/>
        <v>26.666666666666668</v>
      </c>
      <c r="AA6" s="126">
        <f t="shared" si="3"/>
        <v>0</v>
      </c>
      <c r="AB6" s="127">
        <f t="shared" si="4"/>
        <v>0.10666666666666667</v>
      </c>
      <c r="AC6" s="126">
        <f t="shared" si="5"/>
        <v>6.666666666666667</v>
      </c>
      <c r="AD6" s="126">
        <f t="shared" si="6"/>
        <v>3.04</v>
      </c>
      <c r="AE6" s="126">
        <f t="shared" si="7"/>
        <v>190</v>
      </c>
      <c r="AF6" s="126">
        <f t="shared" si="8"/>
        <v>7.6</v>
      </c>
      <c r="AG6" s="128">
        <f t="shared" si="9"/>
        <v>10.133333333333333</v>
      </c>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row>
    <row r="7" spans="1:140" s="17" customFormat="1" ht="14.5" x14ac:dyDescent="0.35">
      <c r="A7" s="61" t="s">
        <v>56</v>
      </c>
      <c r="B7" s="48" t="s">
        <v>54</v>
      </c>
      <c r="C7" s="62" t="s">
        <v>60</v>
      </c>
      <c r="D7" s="115"/>
      <c r="E7" s="115"/>
      <c r="F7" s="115">
        <v>90</v>
      </c>
      <c r="G7" s="115">
        <v>6</v>
      </c>
      <c r="H7" s="124">
        <f t="shared" si="0"/>
        <v>90</v>
      </c>
      <c r="I7" s="115">
        <v>2</v>
      </c>
      <c r="J7" s="117">
        <v>18</v>
      </c>
      <c r="K7" s="115">
        <v>230</v>
      </c>
      <c r="L7" s="115">
        <v>11</v>
      </c>
      <c r="M7" s="115"/>
      <c r="N7" s="115"/>
      <c r="O7" s="115"/>
      <c r="P7" s="124">
        <f t="shared" si="1"/>
        <v>11</v>
      </c>
      <c r="Q7" s="117">
        <v>1</v>
      </c>
      <c r="R7" s="115" t="s">
        <v>61</v>
      </c>
      <c r="S7" s="143" t="s">
        <v>62</v>
      </c>
      <c r="T7" s="115" t="s">
        <v>59</v>
      </c>
      <c r="U7" s="118">
        <v>0.3</v>
      </c>
      <c r="V7" s="118">
        <v>0.55000000000000004</v>
      </c>
      <c r="W7" s="118">
        <v>0.8</v>
      </c>
      <c r="X7" s="115"/>
      <c r="Y7" s="119">
        <v>4.2</v>
      </c>
      <c r="Z7" s="125">
        <f t="shared" si="2"/>
        <v>11</v>
      </c>
      <c r="AA7" s="126">
        <f t="shared" si="3"/>
        <v>0</v>
      </c>
      <c r="AB7" s="127">
        <f t="shared" si="4"/>
        <v>0.12222222222222222</v>
      </c>
      <c r="AC7" s="126">
        <f t="shared" si="5"/>
        <v>5.5</v>
      </c>
      <c r="AD7" s="126">
        <f t="shared" si="6"/>
        <v>2.5555555555555554</v>
      </c>
      <c r="AE7" s="126">
        <f t="shared" si="7"/>
        <v>115</v>
      </c>
      <c r="AF7" s="126">
        <f t="shared" si="8"/>
        <v>3.6507936507936511</v>
      </c>
      <c r="AG7" s="128">
        <f t="shared" si="9"/>
        <v>5.6790123456790127</v>
      </c>
      <c r="AH7" s="73"/>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row>
    <row r="8" spans="1:140" s="17" customFormat="1" ht="14.5" x14ac:dyDescent="0.35">
      <c r="A8" s="61" t="s">
        <v>56</v>
      </c>
      <c r="B8" s="48" t="s">
        <v>54</v>
      </c>
      <c r="C8" s="62" t="s">
        <v>63</v>
      </c>
      <c r="D8" s="115">
        <v>250</v>
      </c>
      <c r="E8" s="115"/>
      <c r="F8" s="115"/>
      <c r="G8" s="115">
        <v>20</v>
      </c>
      <c r="H8" s="124">
        <f t="shared" si="0"/>
        <v>250</v>
      </c>
      <c r="I8" s="115">
        <v>4</v>
      </c>
      <c r="J8" s="117">
        <v>20</v>
      </c>
      <c r="K8" s="115">
        <v>650</v>
      </c>
      <c r="L8" s="115">
        <v>9</v>
      </c>
      <c r="M8" s="115"/>
      <c r="N8" s="115"/>
      <c r="O8" s="115">
        <v>18</v>
      </c>
      <c r="P8" s="124">
        <f t="shared" si="1"/>
        <v>9</v>
      </c>
      <c r="Q8" s="117">
        <v>1.5</v>
      </c>
      <c r="R8" s="115" t="s">
        <v>64</v>
      </c>
      <c r="S8" s="142" t="s">
        <v>65</v>
      </c>
      <c r="T8" s="115" t="s">
        <v>59</v>
      </c>
      <c r="U8" s="118">
        <v>0.3</v>
      </c>
      <c r="V8" s="118">
        <v>0.75</v>
      </c>
      <c r="W8" s="118">
        <v>0.8</v>
      </c>
      <c r="X8" s="115">
        <v>2.5</v>
      </c>
      <c r="Y8" s="119">
        <v>3</v>
      </c>
      <c r="Z8" s="125">
        <f t="shared" si="2"/>
        <v>6</v>
      </c>
      <c r="AA8" s="126">
        <f t="shared" si="3"/>
        <v>12</v>
      </c>
      <c r="AB8" s="127">
        <f t="shared" si="4"/>
        <v>2.4E-2</v>
      </c>
      <c r="AC8" s="126">
        <f t="shared" si="5"/>
        <v>1.5</v>
      </c>
      <c r="AD8" s="126">
        <f t="shared" si="6"/>
        <v>2.6</v>
      </c>
      <c r="AE8" s="126">
        <f t="shared" si="7"/>
        <v>162.5</v>
      </c>
      <c r="AF8" s="126">
        <f t="shared" si="8"/>
        <v>3.7142857142857149</v>
      </c>
      <c r="AG8" s="128">
        <f t="shared" si="9"/>
        <v>10.4</v>
      </c>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row>
    <row r="9" spans="1:140" ht="14.5" x14ac:dyDescent="0.35">
      <c r="A9" s="61" t="s">
        <v>66</v>
      </c>
      <c r="B9" s="48" t="s">
        <v>54</v>
      </c>
      <c r="C9" s="62" t="s">
        <v>67</v>
      </c>
      <c r="D9" s="115"/>
      <c r="E9" s="115">
        <v>100</v>
      </c>
      <c r="F9" s="115">
        <v>50</v>
      </c>
      <c r="G9" s="115"/>
      <c r="H9" s="124">
        <f t="shared" si="0"/>
        <v>150</v>
      </c>
      <c r="I9" s="115">
        <v>3</v>
      </c>
      <c r="J9" s="117">
        <v>12</v>
      </c>
      <c r="K9" s="115">
        <v>290</v>
      </c>
      <c r="L9" s="115"/>
      <c r="M9" s="115">
        <f>8*3</f>
        <v>24</v>
      </c>
      <c r="N9" s="115"/>
      <c r="O9" s="115"/>
      <c r="P9" s="124">
        <f t="shared" si="1"/>
        <v>24</v>
      </c>
      <c r="Q9" s="117">
        <v>1.5</v>
      </c>
      <c r="R9" s="115"/>
      <c r="S9" s="142"/>
      <c r="T9" s="115"/>
      <c r="U9" s="118">
        <v>0.5</v>
      </c>
      <c r="V9" s="118">
        <v>0.3</v>
      </c>
      <c r="W9" s="118">
        <v>0.05</v>
      </c>
      <c r="X9" s="115">
        <v>15</v>
      </c>
      <c r="Y9" s="119">
        <v>5.8</v>
      </c>
      <c r="Z9" s="125">
        <f t="shared" si="2"/>
        <v>16</v>
      </c>
      <c r="AA9" s="126">
        <f t="shared" si="3"/>
        <v>0</v>
      </c>
      <c r="AB9" s="127">
        <f t="shared" si="4"/>
        <v>0.10666666666666667</v>
      </c>
      <c r="AC9" s="126">
        <f t="shared" si="5"/>
        <v>5.333333333333333</v>
      </c>
      <c r="AD9" s="126">
        <f t="shared" si="6"/>
        <v>1.9333333333333333</v>
      </c>
      <c r="AE9" s="126">
        <f t="shared" si="7"/>
        <v>96.666666666666671</v>
      </c>
      <c r="AF9" s="126">
        <f t="shared" si="8"/>
        <v>3.8666666666666667</v>
      </c>
      <c r="AG9" s="128">
        <f t="shared" si="9"/>
        <v>2.7619047619047623</v>
      </c>
    </row>
    <row r="10" spans="1:140" ht="14.5" x14ac:dyDescent="0.35">
      <c r="A10" s="61" t="s">
        <v>56</v>
      </c>
      <c r="B10" s="48" t="s">
        <v>54</v>
      </c>
      <c r="C10" s="62" t="s">
        <v>68</v>
      </c>
      <c r="D10" s="115"/>
      <c r="E10" s="115">
        <v>100</v>
      </c>
      <c r="F10" s="115">
        <v>25</v>
      </c>
      <c r="G10" s="115">
        <v>12</v>
      </c>
      <c r="H10" s="124">
        <f t="shared" si="0"/>
        <v>125</v>
      </c>
      <c r="I10" s="115">
        <v>2</v>
      </c>
      <c r="J10" s="117">
        <v>9</v>
      </c>
      <c r="K10" s="115">
        <v>125</v>
      </c>
      <c r="L10" s="115"/>
      <c r="M10" s="115"/>
      <c r="N10" s="115">
        <v>-15</v>
      </c>
      <c r="O10" s="115"/>
      <c r="P10" s="124">
        <f t="shared" si="1"/>
        <v>-15</v>
      </c>
      <c r="Q10" s="117">
        <v>1</v>
      </c>
      <c r="R10" s="115"/>
      <c r="S10" s="142"/>
      <c r="T10" s="115" t="s">
        <v>59</v>
      </c>
      <c r="U10" s="118">
        <v>0.1</v>
      </c>
      <c r="V10" s="118">
        <v>0.2</v>
      </c>
      <c r="W10" s="118">
        <v>0.8</v>
      </c>
      <c r="X10" s="115"/>
      <c r="Y10" s="119">
        <v>5.3</v>
      </c>
      <c r="Z10" s="125"/>
      <c r="AA10" s="126">
        <f t="shared" si="3"/>
        <v>0</v>
      </c>
      <c r="AB10" s="127">
        <f t="shared" si="4"/>
        <v>0</v>
      </c>
      <c r="AC10" s="126">
        <f t="shared" si="5"/>
        <v>0</v>
      </c>
      <c r="AD10" s="126">
        <f t="shared" si="6"/>
        <v>1</v>
      </c>
      <c r="AE10" s="126">
        <f t="shared" si="7"/>
        <v>62.5</v>
      </c>
      <c r="AF10" s="126">
        <f t="shared" si="8"/>
        <v>1.1111111111111112</v>
      </c>
      <c r="AG10" s="128">
        <f t="shared" si="9"/>
        <v>1.25</v>
      </c>
    </row>
    <row r="11" spans="1:140" ht="14.5" x14ac:dyDescent="0.35">
      <c r="A11" s="61" t="s">
        <v>56</v>
      </c>
      <c r="B11" s="48" t="s">
        <v>54</v>
      </c>
      <c r="C11" s="62" t="s">
        <v>69</v>
      </c>
      <c r="D11" s="115"/>
      <c r="E11" s="115"/>
      <c r="F11" s="115"/>
      <c r="G11" s="115">
        <v>25</v>
      </c>
      <c r="H11" s="124">
        <f t="shared" si="0"/>
        <v>0</v>
      </c>
      <c r="I11" s="115"/>
      <c r="J11" s="117"/>
      <c r="K11" s="115">
        <v>600</v>
      </c>
      <c r="L11" s="115">
        <v>20</v>
      </c>
      <c r="M11" s="115"/>
      <c r="N11" s="115"/>
      <c r="O11" s="115"/>
      <c r="P11" s="124">
        <f t="shared" si="1"/>
        <v>20</v>
      </c>
      <c r="Q11" s="117">
        <v>1</v>
      </c>
      <c r="R11" s="115" t="s">
        <v>59</v>
      </c>
      <c r="S11" s="142" t="s">
        <v>70</v>
      </c>
      <c r="T11" s="115"/>
      <c r="U11" s="118">
        <v>0.35</v>
      </c>
      <c r="V11" s="118">
        <v>0.2</v>
      </c>
      <c r="W11" s="118">
        <v>0.8</v>
      </c>
      <c r="X11" s="115"/>
      <c r="Y11" s="119"/>
      <c r="Z11" s="125">
        <f t="shared" ref="Z11:Z42" si="10">IFERROR(P11/Q11,0)</f>
        <v>20</v>
      </c>
      <c r="AA11" s="126">
        <f t="shared" si="3"/>
        <v>0</v>
      </c>
      <c r="AB11" s="127">
        <f t="shared" si="4"/>
        <v>0</v>
      </c>
      <c r="AC11" s="126">
        <f t="shared" si="5"/>
        <v>0</v>
      </c>
      <c r="AD11" s="126">
        <f t="shared" si="6"/>
        <v>0</v>
      </c>
      <c r="AE11" s="126">
        <f t="shared" si="7"/>
        <v>0</v>
      </c>
      <c r="AF11" s="126">
        <f t="shared" si="8"/>
        <v>0</v>
      </c>
      <c r="AG11" s="128">
        <f t="shared" si="9"/>
        <v>0</v>
      </c>
    </row>
    <row r="12" spans="1:140" ht="14.5" x14ac:dyDescent="0.35">
      <c r="A12" s="61" t="s">
        <v>71</v>
      </c>
      <c r="B12" s="48" t="s">
        <v>54</v>
      </c>
      <c r="C12" s="62" t="s">
        <v>72</v>
      </c>
      <c r="D12" s="115"/>
      <c r="E12" s="115">
        <v>115</v>
      </c>
      <c r="F12" s="115">
        <v>100</v>
      </c>
      <c r="G12" s="115"/>
      <c r="H12" s="124">
        <f t="shared" si="0"/>
        <v>215</v>
      </c>
      <c r="I12" s="115">
        <v>4</v>
      </c>
      <c r="J12" s="117">
        <v>24</v>
      </c>
      <c r="K12" s="115">
        <v>85</v>
      </c>
      <c r="L12" s="115"/>
      <c r="M12" s="115">
        <f>3*4</f>
        <v>12</v>
      </c>
      <c r="N12" s="115"/>
      <c r="O12" s="115"/>
      <c r="P12" s="124">
        <f t="shared" si="1"/>
        <v>12</v>
      </c>
      <c r="Q12" s="117">
        <v>2</v>
      </c>
      <c r="R12" s="115" t="s">
        <v>484</v>
      </c>
      <c r="S12" s="142"/>
      <c r="T12" s="115"/>
      <c r="U12" s="118">
        <v>0.25</v>
      </c>
      <c r="V12" s="118">
        <v>0.5</v>
      </c>
      <c r="W12" s="118">
        <v>0.5</v>
      </c>
      <c r="X12" s="115">
        <v>20</v>
      </c>
      <c r="Y12" s="119">
        <v>3.8</v>
      </c>
      <c r="Z12" s="125">
        <f t="shared" si="10"/>
        <v>6</v>
      </c>
      <c r="AA12" s="126">
        <f t="shared" si="3"/>
        <v>0</v>
      </c>
      <c r="AB12" s="127">
        <f t="shared" si="4"/>
        <v>2.7906976744186046E-2</v>
      </c>
      <c r="AC12" s="126">
        <f t="shared" si="5"/>
        <v>1.5</v>
      </c>
      <c r="AD12" s="126">
        <f t="shared" si="6"/>
        <v>0.39534883720930231</v>
      </c>
      <c r="AE12" s="126">
        <f t="shared" si="7"/>
        <v>21.25</v>
      </c>
      <c r="AF12" s="126">
        <f t="shared" si="8"/>
        <v>0.52713178294573637</v>
      </c>
      <c r="AG12" s="128">
        <f t="shared" si="9"/>
        <v>0.79069767441860461</v>
      </c>
    </row>
    <row r="13" spans="1:140" ht="14.5" x14ac:dyDescent="0.35">
      <c r="A13" s="61" t="s">
        <v>73</v>
      </c>
      <c r="B13" s="48" t="s">
        <v>54</v>
      </c>
      <c r="C13" s="62" t="s">
        <v>74</v>
      </c>
      <c r="D13" s="115"/>
      <c r="E13" s="115">
        <v>200</v>
      </c>
      <c r="F13" s="115">
        <v>175</v>
      </c>
      <c r="G13" s="115">
        <v>4</v>
      </c>
      <c r="H13" s="124">
        <f t="shared" si="0"/>
        <v>375</v>
      </c>
      <c r="I13" s="115">
        <v>4</v>
      </c>
      <c r="J13" s="117">
        <f>24+8</f>
        <v>32</v>
      </c>
      <c r="K13" s="115">
        <v>115</v>
      </c>
      <c r="L13" s="115"/>
      <c r="M13" s="115">
        <v>4</v>
      </c>
      <c r="N13" s="115"/>
      <c r="O13" s="115"/>
      <c r="P13" s="124">
        <f t="shared" si="1"/>
        <v>4</v>
      </c>
      <c r="Q13" s="117">
        <v>2</v>
      </c>
      <c r="R13" s="115" t="s">
        <v>452</v>
      </c>
      <c r="S13" s="142" t="s">
        <v>75</v>
      </c>
      <c r="T13" s="115" t="s">
        <v>76</v>
      </c>
      <c r="U13" s="118">
        <v>0.25</v>
      </c>
      <c r="V13" s="118">
        <v>0.5</v>
      </c>
      <c r="W13" s="118">
        <v>0.5</v>
      </c>
      <c r="X13" s="115">
        <v>20</v>
      </c>
      <c r="Y13" s="119">
        <v>4.0999999999999996</v>
      </c>
      <c r="Z13" s="125">
        <f t="shared" si="10"/>
        <v>2</v>
      </c>
      <c r="AA13" s="126">
        <f t="shared" si="3"/>
        <v>0</v>
      </c>
      <c r="AB13" s="127">
        <f t="shared" si="4"/>
        <v>5.3333333333333332E-3</v>
      </c>
      <c r="AC13" s="126">
        <f t="shared" si="5"/>
        <v>0.5</v>
      </c>
      <c r="AD13" s="126">
        <f t="shared" si="6"/>
        <v>0.30666666666666664</v>
      </c>
      <c r="AE13" s="126">
        <f t="shared" si="7"/>
        <v>28.75</v>
      </c>
      <c r="AF13" s="126">
        <f t="shared" si="8"/>
        <v>0.40888888888888891</v>
      </c>
      <c r="AG13" s="128">
        <f t="shared" si="9"/>
        <v>0.61333333333333329</v>
      </c>
    </row>
    <row r="14" spans="1:140" ht="14.5" x14ac:dyDescent="0.35">
      <c r="A14" s="61" t="s">
        <v>53</v>
      </c>
      <c r="B14" s="48" t="s">
        <v>77</v>
      </c>
      <c r="C14" s="62" t="s">
        <v>78</v>
      </c>
      <c r="D14" s="115">
        <v>50</v>
      </c>
      <c r="E14" s="115"/>
      <c r="F14" s="115">
        <v>40</v>
      </c>
      <c r="G14" s="115"/>
      <c r="H14" s="124">
        <f t="shared" si="0"/>
        <v>90</v>
      </c>
      <c r="I14" s="115">
        <v>2</v>
      </c>
      <c r="J14" s="117">
        <v>12</v>
      </c>
      <c r="K14" s="115">
        <v>115</v>
      </c>
      <c r="L14" s="115">
        <v>7.5</v>
      </c>
      <c r="M14" s="115"/>
      <c r="N14" s="115"/>
      <c r="O14" s="115"/>
      <c r="P14" s="124">
        <f t="shared" si="1"/>
        <v>7.5</v>
      </c>
      <c r="Q14" s="117">
        <v>1</v>
      </c>
      <c r="R14" s="115" t="s">
        <v>79</v>
      </c>
      <c r="S14" s="142"/>
      <c r="T14" s="115"/>
      <c r="U14" s="118">
        <v>0.4</v>
      </c>
      <c r="V14" s="118">
        <v>0.15</v>
      </c>
      <c r="W14" s="118">
        <v>0.99</v>
      </c>
      <c r="X14" s="115"/>
      <c r="Y14" s="119">
        <v>4.3</v>
      </c>
      <c r="Z14" s="125">
        <f t="shared" si="10"/>
        <v>7.5</v>
      </c>
      <c r="AA14" s="126">
        <f t="shared" si="3"/>
        <v>0</v>
      </c>
      <c r="AB14" s="127">
        <f t="shared" si="4"/>
        <v>8.3333333333333329E-2</v>
      </c>
      <c r="AC14" s="126">
        <f t="shared" si="5"/>
        <v>3.75</v>
      </c>
      <c r="AD14" s="126">
        <f t="shared" si="6"/>
        <v>1.2777777777777777</v>
      </c>
      <c r="AE14" s="126">
        <f t="shared" si="7"/>
        <v>57.5</v>
      </c>
      <c r="AF14" s="126">
        <f t="shared" si="8"/>
        <v>2.1296296296296298</v>
      </c>
      <c r="AG14" s="128">
        <f t="shared" si="9"/>
        <v>1.5032679738562094</v>
      </c>
    </row>
    <row r="15" spans="1:140" ht="14.5" x14ac:dyDescent="0.35">
      <c r="A15" s="61" t="s">
        <v>80</v>
      </c>
      <c r="B15" s="48" t="s">
        <v>54</v>
      </c>
      <c r="C15" s="62" t="s">
        <v>81</v>
      </c>
      <c r="D15" s="115">
        <v>105</v>
      </c>
      <c r="E15" s="115"/>
      <c r="F15" s="115">
        <v>70</v>
      </c>
      <c r="G15" s="115">
        <v>3</v>
      </c>
      <c r="H15" s="124">
        <f t="shared" si="0"/>
        <v>175</v>
      </c>
      <c r="I15" s="115">
        <v>3</v>
      </c>
      <c r="J15" s="117">
        <f>17+8</f>
        <v>25</v>
      </c>
      <c r="K15" s="115">
        <v>155</v>
      </c>
      <c r="L15" s="115">
        <v>15</v>
      </c>
      <c r="M15" s="115"/>
      <c r="N15" s="115"/>
      <c r="O15" s="115"/>
      <c r="P15" s="124">
        <f t="shared" si="1"/>
        <v>15</v>
      </c>
      <c r="Q15" s="117">
        <v>1.5</v>
      </c>
      <c r="R15" s="115" t="s">
        <v>82</v>
      </c>
      <c r="S15" s="142" t="s">
        <v>83</v>
      </c>
      <c r="T15" s="115"/>
      <c r="U15" s="118">
        <v>0.15</v>
      </c>
      <c r="V15" s="118">
        <v>0.4</v>
      </c>
      <c r="W15" s="118">
        <v>0.99</v>
      </c>
      <c r="X15" s="115">
        <v>1</v>
      </c>
      <c r="Y15" s="119">
        <v>6.1</v>
      </c>
      <c r="Z15" s="125">
        <f t="shared" si="10"/>
        <v>10</v>
      </c>
      <c r="AA15" s="126">
        <f t="shared" si="3"/>
        <v>0</v>
      </c>
      <c r="AB15" s="127">
        <f t="shared" si="4"/>
        <v>5.7142857142857141E-2</v>
      </c>
      <c r="AC15" s="126">
        <f t="shared" si="5"/>
        <v>3.3333333333333335</v>
      </c>
      <c r="AD15" s="126">
        <f t="shared" si="6"/>
        <v>0.88571428571428568</v>
      </c>
      <c r="AE15" s="126">
        <f t="shared" si="7"/>
        <v>51.666666666666664</v>
      </c>
      <c r="AF15" s="126">
        <f t="shared" si="8"/>
        <v>1.0420168067226889</v>
      </c>
      <c r="AG15" s="128">
        <f t="shared" si="9"/>
        <v>1.4761904761904765</v>
      </c>
    </row>
    <row r="16" spans="1:140" ht="14.5" x14ac:dyDescent="0.35">
      <c r="A16" s="61" t="s">
        <v>84</v>
      </c>
      <c r="B16" s="48" t="s">
        <v>54</v>
      </c>
      <c r="C16" s="62" t="s">
        <v>85</v>
      </c>
      <c r="D16" s="115">
        <v>70</v>
      </c>
      <c r="E16" s="115"/>
      <c r="F16" s="115">
        <v>60</v>
      </c>
      <c r="G16" s="115"/>
      <c r="H16" s="124">
        <f t="shared" si="0"/>
        <v>130</v>
      </c>
      <c r="I16" s="115">
        <v>3</v>
      </c>
      <c r="J16" s="117">
        <v>11</v>
      </c>
      <c r="K16" s="115">
        <v>150</v>
      </c>
      <c r="L16" s="115">
        <v>6</v>
      </c>
      <c r="M16" s="115"/>
      <c r="N16" s="115"/>
      <c r="O16" s="115"/>
      <c r="P16" s="124">
        <f t="shared" si="1"/>
        <v>6</v>
      </c>
      <c r="Q16" s="117">
        <v>1.2</v>
      </c>
      <c r="R16" s="115" t="s">
        <v>86</v>
      </c>
      <c r="S16" s="142"/>
      <c r="T16" s="115"/>
      <c r="U16" s="118">
        <v>0.3</v>
      </c>
      <c r="V16" s="118">
        <v>0.7</v>
      </c>
      <c r="W16" s="118">
        <v>0.99</v>
      </c>
      <c r="X16" s="115">
        <v>1.5</v>
      </c>
      <c r="Y16" s="119">
        <v>3.6</v>
      </c>
      <c r="Z16" s="125">
        <f t="shared" si="10"/>
        <v>5</v>
      </c>
      <c r="AA16" s="126">
        <f t="shared" si="3"/>
        <v>0</v>
      </c>
      <c r="AB16" s="127">
        <f t="shared" si="4"/>
        <v>3.8461538461538464E-2</v>
      </c>
      <c r="AC16" s="126">
        <f t="shared" si="5"/>
        <v>1.6666666666666667</v>
      </c>
      <c r="AD16" s="126">
        <f t="shared" si="6"/>
        <v>1.1538461538461537</v>
      </c>
      <c r="AE16" s="126">
        <f t="shared" si="7"/>
        <v>50</v>
      </c>
      <c r="AF16" s="126">
        <f t="shared" si="8"/>
        <v>1.6483516483516485</v>
      </c>
      <c r="AG16" s="128">
        <f t="shared" si="9"/>
        <v>3.8461538461538458</v>
      </c>
    </row>
    <row r="17" spans="1:34" ht="14.5" x14ac:dyDescent="0.35">
      <c r="A17" s="61" t="s">
        <v>87</v>
      </c>
      <c r="B17" s="48" t="s">
        <v>54</v>
      </c>
      <c r="C17" s="62" t="s">
        <v>88</v>
      </c>
      <c r="D17" s="115">
        <v>125</v>
      </c>
      <c r="E17" s="115"/>
      <c r="F17" s="115">
        <v>105</v>
      </c>
      <c r="G17" s="115">
        <v>3</v>
      </c>
      <c r="H17" s="124">
        <f t="shared" si="0"/>
        <v>230</v>
      </c>
      <c r="I17" s="115">
        <v>3</v>
      </c>
      <c r="J17" s="117">
        <f>11+8</f>
        <v>19</v>
      </c>
      <c r="K17" s="115">
        <v>165</v>
      </c>
      <c r="L17" s="115">
        <v>3.9</v>
      </c>
      <c r="M17" s="115"/>
      <c r="N17" s="115"/>
      <c r="O17" s="115"/>
      <c r="P17" s="124">
        <f t="shared" si="1"/>
        <v>3.9</v>
      </c>
      <c r="Q17" s="117">
        <v>1.2</v>
      </c>
      <c r="R17" s="115" t="s">
        <v>89</v>
      </c>
      <c r="S17" s="142" t="s">
        <v>90</v>
      </c>
      <c r="T17" s="115"/>
      <c r="U17" s="118">
        <v>0.3</v>
      </c>
      <c r="V17" s="118">
        <v>0.7</v>
      </c>
      <c r="W17" s="118">
        <v>0.99</v>
      </c>
      <c r="X17" s="115"/>
      <c r="Y17" s="119">
        <v>3.9</v>
      </c>
      <c r="Z17" s="125">
        <f t="shared" si="10"/>
        <v>3.25</v>
      </c>
      <c r="AA17" s="126">
        <f t="shared" si="3"/>
        <v>0</v>
      </c>
      <c r="AB17" s="127">
        <f t="shared" si="4"/>
        <v>1.4130434782608696E-2</v>
      </c>
      <c r="AC17" s="126">
        <f t="shared" si="5"/>
        <v>1.0833333333333333</v>
      </c>
      <c r="AD17" s="126">
        <f t="shared" si="6"/>
        <v>0.71739130434782605</v>
      </c>
      <c r="AE17" s="126">
        <f t="shared" si="7"/>
        <v>55</v>
      </c>
      <c r="AF17" s="126">
        <f t="shared" si="8"/>
        <v>1.0248447204968945</v>
      </c>
      <c r="AG17" s="128">
        <f t="shared" si="9"/>
        <v>2.3913043478260865</v>
      </c>
    </row>
    <row r="18" spans="1:34" ht="14.5" x14ac:dyDescent="0.35">
      <c r="A18" s="61" t="s">
        <v>56</v>
      </c>
      <c r="B18" s="48" t="s">
        <v>54</v>
      </c>
      <c r="C18" s="62" t="s">
        <v>91</v>
      </c>
      <c r="D18" s="115"/>
      <c r="E18" s="115">
        <v>150</v>
      </c>
      <c r="F18" s="115"/>
      <c r="G18" s="115"/>
      <c r="H18" s="124">
        <f t="shared" si="0"/>
        <v>150</v>
      </c>
      <c r="I18" s="115">
        <v>0</v>
      </c>
      <c r="J18" s="117">
        <v>8</v>
      </c>
      <c r="K18" s="115">
        <v>275</v>
      </c>
      <c r="L18" s="115">
        <v>22</v>
      </c>
      <c r="M18" s="115"/>
      <c r="N18" s="115"/>
      <c r="O18" s="115"/>
      <c r="P18" s="124">
        <f t="shared" si="1"/>
        <v>22</v>
      </c>
      <c r="Q18" s="117">
        <v>1.5</v>
      </c>
      <c r="R18" s="115" t="s">
        <v>59</v>
      </c>
      <c r="S18" s="142"/>
      <c r="T18" s="115"/>
      <c r="U18" s="118">
        <v>0.4</v>
      </c>
      <c r="V18" s="118">
        <v>0.5</v>
      </c>
      <c r="W18" s="118">
        <v>0.8</v>
      </c>
      <c r="X18" s="115"/>
      <c r="Y18" s="119">
        <v>4.5</v>
      </c>
      <c r="Z18" s="125">
        <f t="shared" si="10"/>
        <v>14.666666666666666</v>
      </c>
      <c r="AA18" s="126">
        <f t="shared" si="3"/>
        <v>0</v>
      </c>
      <c r="AB18" s="127">
        <f t="shared" si="4"/>
        <v>9.7777777777777769E-2</v>
      </c>
      <c r="AC18" s="126">
        <f t="shared" si="5"/>
        <v>0</v>
      </c>
      <c r="AD18" s="126">
        <f t="shared" si="6"/>
        <v>1.8333333333333333</v>
      </c>
      <c r="AE18" s="126">
        <f t="shared" si="7"/>
        <v>0</v>
      </c>
      <c r="AF18" s="126">
        <f t="shared" si="8"/>
        <v>3.0555555555555558</v>
      </c>
      <c r="AG18" s="128">
        <f t="shared" si="9"/>
        <v>3.6666666666666665</v>
      </c>
      <c r="AH18" s="73"/>
    </row>
    <row r="19" spans="1:34" ht="15" customHeight="1" x14ac:dyDescent="0.35">
      <c r="A19" s="61" t="s">
        <v>53</v>
      </c>
      <c r="B19" s="48" t="s">
        <v>54</v>
      </c>
      <c r="C19" s="62" t="s">
        <v>92</v>
      </c>
      <c r="D19" s="115">
        <v>60</v>
      </c>
      <c r="E19" s="115"/>
      <c r="F19" s="115">
        <v>35</v>
      </c>
      <c r="G19" s="115"/>
      <c r="H19" s="124">
        <f t="shared" si="0"/>
        <v>95</v>
      </c>
      <c r="I19" s="115">
        <v>2</v>
      </c>
      <c r="J19" s="117">
        <v>11</v>
      </c>
      <c r="K19" s="115">
        <v>115</v>
      </c>
      <c r="L19" s="115">
        <v>6</v>
      </c>
      <c r="M19" s="115"/>
      <c r="N19" s="115"/>
      <c r="O19" s="115"/>
      <c r="P19" s="124">
        <f t="shared" si="1"/>
        <v>6</v>
      </c>
      <c r="Q19" s="117">
        <v>1.2</v>
      </c>
      <c r="R19" s="115" t="s">
        <v>93</v>
      </c>
      <c r="S19" s="142"/>
      <c r="T19" s="115"/>
      <c r="U19" s="118">
        <v>0.35</v>
      </c>
      <c r="V19" s="118">
        <v>0.1</v>
      </c>
      <c r="W19" s="118">
        <v>0.99</v>
      </c>
      <c r="X19" s="115"/>
      <c r="Y19" s="119">
        <v>4.5</v>
      </c>
      <c r="Z19" s="125">
        <f t="shared" si="10"/>
        <v>5</v>
      </c>
      <c r="AA19" s="126">
        <f t="shared" si="3"/>
        <v>0</v>
      </c>
      <c r="AB19" s="127">
        <f t="shared" si="4"/>
        <v>5.2631578947368418E-2</v>
      </c>
      <c r="AC19" s="126">
        <f t="shared" si="5"/>
        <v>2.5</v>
      </c>
      <c r="AD19" s="126">
        <f t="shared" si="6"/>
        <v>1.2105263157894737</v>
      </c>
      <c r="AE19" s="126">
        <f t="shared" si="7"/>
        <v>57.5</v>
      </c>
      <c r="AF19" s="126">
        <f t="shared" si="8"/>
        <v>1.8623481781376516</v>
      </c>
      <c r="AG19" s="128">
        <f t="shared" si="9"/>
        <v>1.3450292397660819</v>
      </c>
    </row>
    <row r="20" spans="1:34" ht="15" customHeight="1" x14ac:dyDescent="0.35">
      <c r="A20" s="61" t="s">
        <v>80</v>
      </c>
      <c r="B20" s="48" t="s">
        <v>54</v>
      </c>
      <c r="C20" s="62" t="s">
        <v>94</v>
      </c>
      <c r="D20" s="115">
        <v>130</v>
      </c>
      <c r="E20" s="115"/>
      <c r="F20" s="115">
        <v>95</v>
      </c>
      <c r="G20" s="115">
        <v>3</v>
      </c>
      <c r="H20" s="124">
        <f t="shared" si="0"/>
        <v>225</v>
      </c>
      <c r="I20" s="115">
        <v>3</v>
      </c>
      <c r="J20" s="117">
        <f>11+8</f>
        <v>19</v>
      </c>
      <c r="K20" s="115">
        <v>155</v>
      </c>
      <c r="L20" s="115">
        <v>9</v>
      </c>
      <c r="M20" s="115"/>
      <c r="N20" s="115"/>
      <c r="O20" s="115"/>
      <c r="P20" s="124">
        <f t="shared" si="1"/>
        <v>9</v>
      </c>
      <c r="Q20" s="117">
        <v>1</v>
      </c>
      <c r="R20" s="115" t="s">
        <v>95</v>
      </c>
      <c r="S20" s="142" t="s">
        <v>96</v>
      </c>
      <c r="T20" s="115" t="s">
        <v>76</v>
      </c>
      <c r="U20" s="118">
        <v>0.4</v>
      </c>
      <c r="V20" s="118">
        <v>0.15</v>
      </c>
      <c r="W20" s="118">
        <v>0.99</v>
      </c>
      <c r="X20" s="115"/>
      <c r="Y20" s="119">
        <v>4.5999999999999996</v>
      </c>
      <c r="Z20" s="125">
        <f t="shared" si="10"/>
        <v>9</v>
      </c>
      <c r="AA20" s="126">
        <f t="shared" si="3"/>
        <v>0</v>
      </c>
      <c r="AB20" s="127">
        <f t="shared" si="4"/>
        <v>0.04</v>
      </c>
      <c r="AC20" s="126">
        <f t="shared" si="5"/>
        <v>3</v>
      </c>
      <c r="AD20" s="126">
        <f t="shared" si="6"/>
        <v>0.68888888888888888</v>
      </c>
      <c r="AE20" s="126">
        <f t="shared" si="7"/>
        <v>51.666666666666664</v>
      </c>
      <c r="AF20" s="126">
        <f t="shared" si="8"/>
        <v>1.1481481481481484</v>
      </c>
      <c r="AG20" s="128">
        <f t="shared" si="9"/>
        <v>0.81045751633986929</v>
      </c>
    </row>
    <row r="21" spans="1:34" ht="15" customHeight="1" x14ac:dyDescent="0.35">
      <c r="A21" s="61" t="s">
        <v>97</v>
      </c>
      <c r="B21" s="48" t="s">
        <v>54</v>
      </c>
      <c r="C21" s="62" t="s">
        <v>98</v>
      </c>
      <c r="D21" s="115"/>
      <c r="E21" s="115">
        <v>100</v>
      </c>
      <c r="F21" s="115">
        <v>50</v>
      </c>
      <c r="G21" s="115"/>
      <c r="H21" s="124">
        <f t="shared" si="0"/>
        <v>150</v>
      </c>
      <c r="I21" s="115">
        <v>3</v>
      </c>
      <c r="J21" s="117">
        <v>17</v>
      </c>
      <c r="K21" s="115">
        <v>320</v>
      </c>
      <c r="L21" s="115">
        <v>20</v>
      </c>
      <c r="M21" s="115"/>
      <c r="N21" s="115"/>
      <c r="O21" s="115"/>
      <c r="P21" s="124">
        <f t="shared" si="1"/>
        <v>20</v>
      </c>
      <c r="Q21" s="117">
        <v>1.5</v>
      </c>
      <c r="R21" s="115"/>
      <c r="S21" s="142"/>
      <c r="T21" s="115"/>
      <c r="U21" s="118">
        <v>0.3</v>
      </c>
      <c r="V21" s="118">
        <v>0.1</v>
      </c>
      <c r="W21" s="118">
        <v>0.5</v>
      </c>
      <c r="X21" s="115">
        <v>5</v>
      </c>
      <c r="Y21" s="119">
        <v>7.3</v>
      </c>
      <c r="Z21" s="125">
        <f t="shared" si="10"/>
        <v>13.333333333333334</v>
      </c>
      <c r="AA21" s="126">
        <f t="shared" si="3"/>
        <v>0</v>
      </c>
      <c r="AB21" s="127">
        <f t="shared" si="4"/>
        <v>8.8888888888888892E-2</v>
      </c>
      <c r="AC21" s="126">
        <f t="shared" si="5"/>
        <v>4.4444444444444446</v>
      </c>
      <c r="AD21" s="126">
        <f t="shared" si="6"/>
        <v>2.1333333333333333</v>
      </c>
      <c r="AE21" s="126">
        <f t="shared" si="7"/>
        <v>106.66666666666667</v>
      </c>
      <c r="AF21" s="126">
        <f t="shared" si="8"/>
        <v>3.0476190476190479</v>
      </c>
      <c r="AG21" s="128">
        <f t="shared" si="9"/>
        <v>2.3703703703703702</v>
      </c>
    </row>
    <row r="22" spans="1:34" ht="15.75" customHeight="1" x14ac:dyDescent="0.35">
      <c r="A22" s="61" t="s">
        <v>99</v>
      </c>
      <c r="B22" s="48" t="s">
        <v>54</v>
      </c>
      <c r="C22" s="62" t="s">
        <v>100</v>
      </c>
      <c r="D22" s="115"/>
      <c r="E22" s="115">
        <v>275</v>
      </c>
      <c r="F22" s="115">
        <v>180</v>
      </c>
      <c r="G22" s="115"/>
      <c r="H22" s="124">
        <f t="shared" si="0"/>
        <v>455</v>
      </c>
      <c r="I22" s="115">
        <v>5</v>
      </c>
      <c r="J22" s="117">
        <v>19</v>
      </c>
      <c r="K22" s="115">
        <v>350</v>
      </c>
      <c r="L22" s="115"/>
      <c r="M22" s="115">
        <v>20</v>
      </c>
      <c r="N22" s="115"/>
      <c r="O22" s="115">
        <v>100</v>
      </c>
      <c r="P22" s="124">
        <f t="shared" si="1"/>
        <v>20</v>
      </c>
      <c r="Q22" s="117">
        <v>1.7</v>
      </c>
      <c r="R22" s="115"/>
      <c r="S22" s="142"/>
      <c r="T22" s="115"/>
      <c r="U22" s="118">
        <v>0.05</v>
      </c>
      <c r="V22" s="118">
        <v>0.9</v>
      </c>
      <c r="W22" s="118">
        <v>0.5</v>
      </c>
      <c r="X22" s="115">
        <v>16</v>
      </c>
      <c r="Y22" s="119">
        <v>2.9</v>
      </c>
      <c r="Z22" s="125">
        <f t="shared" si="10"/>
        <v>11.764705882352942</v>
      </c>
      <c r="AA22" s="126">
        <f t="shared" si="3"/>
        <v>58.82352941176471</v>
      </c>
      <c r="AB22" s="127">
        <f t="shared" si="4"/>
        <v>2.5856496444731741E-2</v>
      </c>
      <c r="AC22" s="126">
        <f t="shared" si="5"/>
        <v>2.3529411764705883</v>
      </c>
      <c r="AD22" s="126">
        <f t="shared" si="6"/>
        <v>0.76923076923076927</v>
      </c>
      <c r="AE22" s="126">
        <f t="shared" si="7"/>
        <v>70</v>
      </c>
      <c r="AF22" s="126">
        <f t="shared" si="8"/>
        <v>0.80971659919028338</v>
      </c>
      <c r="AG22" s="128">
        <f t="shared" si="9"/>
        <v>7.6923076923076943</v>
      </c>
    </row>
    <row r="23" spans="1:34" ht="15.75" customHeight="1" x14ac:dyDescent="0.35">
      <c r="A23" s="61" t="s">
        <v>49</v>
      </c>
      <c r="B23" s="48" t="s">
        <v>101</v>
      </c>
      <c r="C23" s="62" t="s">
        <v>102</v>
      </c>
      <c r="D23" s="115">
        <v>50</v>
      </c>
      <c r="E23" s="115"/>
      <c r="F23" s="115">
        <v>80</v>
      </c>
      <c r="G23" s="115"/>
      <c r="H23" s="124">
        <f t="shared" si="0"/>
        <v>130</v>
      </c>
      <c r="I23" s="115">
        <v>3</v>
      </c>
      <c r="J23" s="117">
        <v>24</v>
      </c>
      <c r="K23" s="115">
        <v>180</v>
      </c>
      <c r="L23" s="115">
        <v>10</v>
      </c>
      <c r="M23" s="115"/>
      <c r="N23" s="115"/>
      <c r="O23" s="115"/>
      <c r="P23" s="124">
        <f t="shared" si="1"/>
        <v>10</v>
      </c>
      <c r="Q23" s="117">
        <v>1</v>
      </c>
      <c r="R23" s="115"/>
      <c r="S23" s="142"/>
      <c r="T23" s="115"/>
      <c r="U23" s="118">
        <v>0.25</v>
      </c>
      <c r="V23" s="118">
        <v>0.35</v>
      </c>
      <c r="W23" s="118">
        <v>0.99</v>
      </c>
      <c r="X23" s="115"/>
      <c r="Y23" s="119">
        <v>4.8</v>
      </c>
      <c r="Z23" s="125">
        <f t="shared" si="10"/>
        <v>10</v>
      </c>
      <c r="AA23" s="126">
        <f t="shared" si="3"/>
        <v>0</v>
      </c>
      <c r="AB23" s="127">
        <f t="shared" si="4"/>
        <v>7.6923076923076927E-2</v>
      </c>
      <c r="AC23" s="126">
        <f t="shared" si="5"/>
        <v>3.3333333333333335</v>
      </c>
      <c r="AD23" s="126">
        <f t="shared" si="6"/>
        <v>1.3846153846153846</v>
      </c>
      <c r="AE23" s="126">
        <f t="shared" si="7"/>
        <v>60</v>
      </c>
      <c r="AF23" s="126">
        <f t="shared" si="8"/>
        <v>1.8461538461538463</v>
      </c>
      <c r="AG23" s="128">
        <f t="shared" si="9"/>
        <v>2.1301775147928992</v>
      </c>
    </row>
    <row r="24" spans="1:34" ht="15.75" customHeight="1" x14ac:dyDescent="0.35">
      <c r="A24" s="61" t="s">
        <v>80</v>
      </c>
      <c r="B24" s="48" t="s">
        <v>54</v>
      </c>
      <c r="C24" s="62" t="s">
        <v>103</v>
      </c>
      <c r="D24" s="115">
        <v>105</v>
      </c>
      <c r="E24" s="115"/>
      <c r="F24" s="115">
        <v>60</v>
      </c>
      <c r="G24" s="115">
        <v>2</v>
      </c>
      <c r="H24" s="124">
        <f t="shared" si="0"/>
        <v>165</v>
      </c>
      <c r="I24" s="115">
        <v>2</v>
      </c>
      <c r="J24" s="117">
        <f>11+8</f>
        <v>19</v>
      </c>
      <c r="K24" s="115">
        <v>130</v>
      </c>
      <c r="L24" s="115">
        <v>7</v>
      </c>
      <c r="M24" s="115"/>
      <c r="N24" s="115"/>
      <c r="O24" s="115"/>
      <c r="P24" s="124">
        <f t="shared" si="1"/>
        <v>7</v>
      </c>
      <c r="Q24" s="117">
        <v>1.2</v>
      </c>
      <c r="R24" s="115" t="s">
        <v>104</v>
      </c>
      <c r="S24" s="142" t="s">
        <v>105</v>
      </c>
      <c r="T24" s="115"/>
      <c r="U24" s="118">
        <v>0.35</v>
      </c>
      <c r="V24" s="118">
        <v>0.1</v>
      </c>
      <c r="W24" s="118">
        <v>0.99</v>
      </c>
      <c r="X24" s="115"/>
      <c r="Y24" s="119">
        <v>4.8</v>
      </c>
      <c r="Z24" s="125">
        <f t="shared" si="10"/>
        <v>5.8333333333333339</v>
      </c>
      <c r="AA24" s="126">
        <f t="shared" si="3"/>
        <v>0</v>
      </c>
      <c r="AB24" s="127">
        <f t="shared" si="4"/>
        <v>3.5353535353535359E-2</v>
      </c>
      <c r="AC24" s="126">
        <f t="shared" si="5"/>
        <v>2.916666666666667</v>
      </c>
      <c r="AD24" s="126">
        <f t="shared" si="6"/>
        <v>0.78787878787878785</v>
      </c>
      <c r="AE24" s="126">
        <f t="shared" si="7"/>
        <v>65</v>
      </c>
      <c r="AF24" s="126">
        <f t="shared" si="8"/>
        <v>1.2121212121212122</v>
      </c>
      <c r="AG24" s="128">
        <f t="shared" si="9"/>
        <v>0.87542087542087532</v>
      </c>
    </row>
    <row r="25" spans="1:34" ht="15.75" customHeight="1" x14ac:dyDescent="0.35">
      <c r="A25" s="61" t="s">
        <v>56</v>
      </c>
      <c r="B25" s="48" t="s">
        <v>54</v>
      </c>
      <c r="C25" s="62" t="s">
        <v>106</v>
      </c>
      <c r="D25" s="115"/>
      <c r="E25" s="115"/>
      <c r="F25" s="115">
        <v>250</v>
      </c>
      <c r="G25" s="115">
        <v>25</v>
      </c>
      <c r="H25" s="124">
        <f t="shared" si="0"/>
        <v>250</v>
      </c>
      <c r="I25" s="115">
        <v>4</v>
      </c>
      <c r="J25" s="117">
        <v>20</v>
      </c>
      <c r="K25" s="115">
        <v>350</v>
      </c>
      <c r="L25" s="115"/>
      <c r="M25" s="115">
        <v>24</v>
      </c>
      <c r="N25" s="115"/>
      <c r="O25" s="115">
        <v>20</v>
      </c>
      <c r="P25" s="124">
        <f t="shared" si="1"/>
        <v>24</v>
      </c>
      <c r="Q25" s="117">
        <v>2</v>
      </c>
      <c r="R25" s="115" t="s">
        <v>107</v>
      </c>
      <c r="S25" s="142" t="s">
        <v>108</v>
      </c>
      <c r="T25" s="115" t="s">
        <v>59</v>
      </c>
      <c r="U25" s="118">
        <v>0.4</v>
      </c>
      <c r="V25" s="118">
        <v>0.5</v>
      </c>
      <c r="W25" s="118">
        <v>0.8</v>
      </c>
      <c r="X25" s="115">
        <v>12</v>
      </c>
      <c r="Y25" s="119">
        <v>4.3</v>
      </c>
      <c r="Z25" s="125">
        <f t="shared" si="10"/>
        <v>12</v>
      </c>
      <c r="AA25" s="126">
        <f t="shared" si="3"/>
        <v>10</v>
      </c>
      <c r="AB25" s="127">
        <f t="shared" si="4"/>
        <v>4.8000000000000001E-2</v>
      </c>
      <c r="AC25" s="126">
        <f t="shared" si="5"/>
        <v>3</v>
      </c>
      <c r="AD25" s="126">
        <f t="shared" si="6"/>
        <v>1.4</v>
      </c>
      <c r="AE25" s="126">
        <f t="shared" si="7"/>
        <v>87.5</v>
      </c>
      <c r="AF25" s="126">
        <f t="shared" si="8"/>
        <v>2.3333333333333335</v>
      </c>
      <c r="AG25" s="128">
        <f t="shared" si="9"/>
        <v>2.8</v>
      </c>
    </row>
    <row r="26" spans="1:34" ht="15.75" customHeight="1" x14ac:dyDescent="0.35">
      <c r="A26" s="61" t="s">
        <v>56</v>
      </c>
      <c r="B26" s="48" t="s">
        <v>54</v>
      </c>
      <c r="C26" s="62" t="s">
        <v>109</v>
      </c>
      <c r="D26" s="115">
        <v>250</v>
      </c>
      <c r="E26" s="115"/>
      <c r="F26" s="115"/>
      <c r="G26" s="115">
        <v>15</v>
      </c>
      <c r="H26" s="124">
        <f t="shared" si="0"/>
        <v>250</v>
      </c>
      <c r="I26" s="115">
        <v>4</v>
      </c>
      <c r="J26" s="117">
        <v>10</v>
      </c>
      <c r="K26" s="115">
        <v>900</v>
      </c>
      <c r="L26" s="115"/>
      <c r="M26" s="115"/>
      <c r="N26" s="115">
        <v>25</v>
      </c>
      <c r="O26" s="115"/>
      <c r="P26" s="124">
        <f t="shared" si="1"/>
        <v>25</v>
      </c>
      <c r="Q26" s="117">
        <v>3</v>
      </c>
      <c r="R26" s="115" t="s">
        <v>110</v>
      </c>
      <c r="S26" s="142" t="s">
        <v>111</v>
      </c>
      <c r="T26" s="115" t="s">
        <v>112</v>
      </c>
      <c r="U26" s="118">
        <v>0.5</v>
      </c>
      <c r="V26" s="118">
        <v>0.7</v>
      </c>
      <c r="W26" s="118">
        <v>0.8</v>
      </c>
      <c r="X26" s="115">
        <v>12</v>
      </c>
      <c r="Y26" s="119">
        <v>6</v>
      </c>
      <c r="Z26" s="125">
        <f t="shared" si="10"/>
        <v>8.3333333333333339</v>
      </c>
      <c r="AA26" s="126">
        <f t="shared" si="3"/>
        <v>0</v>
      </c>
      <c r="AB26" s="127">
        <f t="shared" si="4"/>
        <v>3.3333333333333333E-2</v>
      </c>
      <c r="AC26" s="126">
        <f t="shared" si="5"/>
        <v>2.0833333333333335</v>
      </c>
      <c r="AD26" s="126">
        <f t="shared" si="6"/>
        <v>3.6</v>
      </c>
      <c r="AE26" s="126">
        <f t="shared" si="7"/>
        <v>225</v>
      </c>
      <c r="AF26" s="126">
        <f t="shared" si="8"/>
        <v>7.2</v>
      </c>
      <c r="AG26" s="128">
        <f t="shared" si="9"/>
        <v>11.999999999999998</v>
      </c>
    </row>
    <row r="27" spans="1:34" ht="15.75" customHeight="1" x14ac:dyDescent="0.35">
      <c r="A27" s="61" t="s">
        <v>53</v>
      </c>
      <c r="B27" s="48" t="s">
        <v>54</v>
      </c>
      <c r="C27" s="62" t="s">
        <v>113</v>
      </c>
      <c r="D27" s="115">
        <v>75</v>
      </c>
      <c r="E27" s="115"/>
      <c r="F27" s="115">
        <v>55</v>
      </c>
      <c r="G27" s="115"/>
      <c r="H27" s="124">
        <f t="shared" si="0"/>
        <v>130</v>
      </c>
      <c r="I27" s="115">
        <v>3</v>
      </c>
      <c r="J27" s="117">
        <v>11</v>
      </c>
      <c r="K27" s="115">
        <v>140</v>
      </c>
      <c r="L27" s="115">
        <v>8</v>
      </c>
      <c r="M27" s="115"/>
      <c r="N27" s="115"/>
      <c r="O27" s="115"/>
      <c r="P27" s="124">
        <f t="shared" si="1"/>
        <v>8</v>
      </c>
      <c r="Q27" s="117">
        <v>1</v>
      </c>
      <c r="R27" s="115" t="s">
        <v>114</v>
      </c>
      <c r="S27" s="142"/>
      <c r="T27" s="115"/>
      <c r="U27" s="118">
        <v>0.4</v>
      </c>
      <c r="V27" s="118">
        <v>0.15</v>
      </c>
      <c r="W27" s="118">
        <v>0.99</v>
      </c>
      <c r="X27" s="115"/>
      <c r="Y27" s="119">
        <v>4.3</v>
      </c>
      <c r="Z27" s="125">
        <f t="shared" si="10"/>
        <v>8</v>
      </c>
      <c r="AA27" s="126">
        <f t="shared" si="3"/>
        <v>0</v>
      </c>
      <c r="AB27" s="127">
        <f t="shared" si="4"/>
        <v>6.1538461538461542E-2</v>
      </c>
      <c r="AC27" s="126">
        <f t="shared" si="5"/>
        <v>2.6666666666666665</v>
      </c>
      <c r="AD27" s="126">
        <f t="shared" si="6"/>
        <v>1.0769230769230769</v>
      </c>
      <c r="AE27" s="126">
        <f t="shared" si="7"/>
        <v>46.666666666666664</v>
      </c>
      <c r="AF27" s="126">
        <f t="shared" si="8"/>
        <v>1.7948717948717949</v>
      </c>
      <c r="AG27" s="128">
        <f t="shared" si="9"/>
        <v>1.2669683257918554</v>
      </c>
    </row>
    <row r="28" spans="1:34" ht="15.75" customHeight="1" x14ac:dyDescent="0.35">
      <c r="A28" s="61" t="s">
        <v>115</v>
      </c>
      <c r="B28" s="48" t="s">
        <v>54</v>
      </c>
      <c r="C28" s="62" t="s">
        <v>116</v>
      </c>
      <c r="D28" s="115">
        <v>95</v>
      </c>
      <c r="E28" s="115"/>
      <c r="F28" s="115">
        <v>55</v>
      </c>
      <c r="G28" s="115">
        <v>2</v>
      </c>
      <c r="H28" s="124">
        <f t="shared" si="0"/>
        <v>150</v>
      </c>
      <c r="I28" s="115">
        <v>2</v>
      </c>
      <c r="J28" s="117">
        <v>22</v>
      </c>
      <c r="K28" s="115">
        <v>125</v>
      </c>
      <c r="L28" s="115">
        <v>8</v>
      </c>
      <c r="M28" s="115">
        <v>10</v>
      </c>
      <c r="N28" s="115"/>
      <c r="O28" s="115"/>
      <c r="P28" s="124">
        <f t="shared" si="1"/>
        <v>18</v>
      </c>
      <c r="Q28" s="117">
        <v>0.8</v>
      </c>
      <c r="R28" s="115" t="s">
        <v>117</v>
      </c>
      <c r="S28" s="142"/>
      <c r="T28" s="115"/>
      <c r="U28" s="118">
        <v>0.4</v>
      </c>
      <c r="V28" s="118">
        <v>0.1</v>
      </c>
      <c r="W28" s="118">
        <v>0.99</v>
      </c>
      <c r="X28" s="115"/>
      <c r="Y28" s="119">
        <v>4.8</v>
      </c>
      <c r="Z28" s="125">
        <f t="shared" si="10"/>
        <v>22.5</v>
      </c>
      <c r="AA28" s="126">
        <f t="shared" si="3"/>
        <v>0</v>
      </c>
      <c r="AB28" s="127">
        <f t="shared" si="4"/>
        <v>0.15</v>
      </c>
      <c r="AC28" s="126">
        <f t="shared" si="5"/>
        <v>11.25</v>
      </c>
      <c r="AD28" s="126">
        <f t="shared" si="6"/>
        <v>0.83333333333333337</v>
      </c>
      <c r="AE28" s="126">
        <f t="shared" si="7"/>
        <v>62.5</v>
      </c>
      <c r="AF28" s="126">
        <f t="shared" si="8"/>
        <v>1.3888888888888891</v>
      </c>
      <c r="AG28" s="128">
        <f t="shared" si="9"/>
        <v>0.92592592592592593</v>
      </c>
    </row>
    <row r="29" spans="1:34" ht="15.75" customHeight="1" x14ac:dyDescent="0.35">
      <c r="A29" s="61" t="s">
        <v>56</v>
      </c>
      <c r="B29" s="48" t="s">
        <v>54</v>
      </c>
      <c r="C29" s="62" t="s">
        <v>118</v>
      </c>
      <c r="D29" s="115"/>
      <c r="E29" s="115"/>
      <c r="F29" s="115">
        <v>200</v>
      </c>
      <c r="G29" s="115">
        <v>15</v>
      </c>
      <c r="H29" s="124">
        <f t="shared" si="0"/>
        <v>200</v>
      </c>
      <c r="I29" s="115">
        <v>2</v>
      </c>
      <c r="J29" s="117">
        <v>12</v>
      </c>
      <c r="K29" s="115">
        <v>400</v>
      </c>
      <c r="L29" s="115">
        <v>25</v>
      </c>
      <c r="M29" s="115"/>
      <c r="N29" s="115"/>
      <c r="O29" s="115"/>
      <c r="P29" s="124">
        <f t="shared" si="1"/>
        <v>25</v>
      </c>
      <c r="Q29" s="117">
        <v>1</v>
      </c>
      <c r="R29" s="115" t="s">
        <v>107</v>
      </c>
      <c r="S29" s="142" t="s">
        <v>119</v>
      </c>
      <c r="T29" s="115" t="s">
        <v>59</v>
      </c>
      <c r="U29" s="118">
        <v>0.3</v>
      </c>
      <c r="V29" s="118">
        <v>0.5</v>
      </c>
      <c r="W29" s="118">
        <v>0.8</v>
      </c>
      <c r="X29" s="115"/>
      <c r="Y29" s="119">
        <v>5</v>
      </c>
      <c r="Z29" s="125">
        <f t="shared" si="10"/>
        <v>25</v>
      </c>
      <c r="AA29" s="126">
        <f t="shared" si="3"/>
        <v>0</v>
      </c>
      <c r="AB29" s="127">
        <f t="shared" si="4"/>
        <v>0.125</v>
      </c>
      <c r="AC29" s="126">
        <f t="shared" si="5"/>
        <v>12.5</v>
      </c>
      <c r="AD29" s="126">
        <f t="shared" si="6"/>
        <v>2</v>
      </c>
      <c r="AE29" s="126">
        <f t="shared" si="7"/>
        <v>200</v>
      </c>
      <c r="AF29" s="126">
        <f t="shared" si="8"/>
        <v>2.8571428571428572</v>
      </c>
      <c r="AG29" s="128">
        <f t="shared" si="9"/>
        <v>4</v>
      </c>
    </row>
    <row r="30" spans="1:34" ht="15.75" customHeight="1" x14ac:dyDescent="0.35">
      <c r="A30" s="61" t="s">
        <v>53</v>
      </c>
      <c r="B30" s="48" t="s">
        <v>50</v>
      </c>
      <c r="C30" s="62" t="s">
        <v>120</v>
      </c>
      <c r="D30" s="115">
        <v>50</v>
      </c>
      <c r="E30" s="115"/>
      <c r="F30" s="115">
        <v>20</v>
      </c>
      <c r="G30" s="115"/>
      <c r="H30" s="124">
        <f t="shared" si="0"/>
        <v>70</v>
      </c>
      <c r="I30" s="115">
        <v>2</v>
      </c>
      <c r="J30" s="117">
        <v>12</v>
      </c>
      <c r="K30" s="115">
        <v>75</v>
      </c>
      <c r="L30" s="115">
        <v>6</v>
      </c>
      <c r="M30" s="115"/>
      <c r="N30" s="115"/>
      <c r="O30" s="115"/>
      <c r="P30" s="124">
        <f t="shared" si="1"/>
        <v>6</v>
      </c>
      <c r="Q30" s="117">
        <v>1</v>
      </c>
      <c r="R30" s="115" t="s">
        <v>121</v>
      </c>
      <c r="S30" s="142"/>
      <c r="T30" s="115"/>
      <c r="U30" s="118">
        <v>0.4</v>
      </c>
      <c r="V30" s="118">
        <v>0.15</v>
      </c>
      <c r="W30" s="118">
        <v>0.99</v>
      </c>
      <c r="X30" s="115"/>
      <c r="Y30" s="119">
        <v>5</v>
      </c>
      <c r="Z30" s="125">
        <f t="shared" si="10"/>
        <v>6</v>
      </c>
      <c r="AA30" s="126">
        <f t="shared" si="3"/>
        <v>0</v>
      </c>
      <c r="AB30" s="127">
        <f t="shared" si="4"/>
        <v>8.5714285714285715E-2</v>
      </c>
      <c r="AC30" s="126">
        <f t="shared" si="5"/>
        <v>3</v>
      </c>
      <c r="AD30" s="126">
        <f t="shared" si="6"/>
        <v>1.0714285714285714</v>
      </c>
      <c r="AE30" s="126">
        <f t="shared" si="7"/>
        <v>37.5</v>
      </c>
      <c r="AF30" s="126">
        <f t="shared" si="8"/>
        <v>1.7857142857142858</v>
      </c>
      <c r="AG30" s="128">
        <f t="shared" si="9"/>
        <v>1.2605042016806722</v>
      </c>
    </row>
    <row r="31" spans="1:34" ht="15.75" customHeight="1" x14ac:dyDescent="0.35">
      <c r="A31" s="61" t="s">
        <v>80</v>
      </c>
      <c r="B31" s="48" t="s">
        <v>54</v>
      </c>
      <c r="C31" s="62" t="s">
        <v>122</v>
      </c>
      <c r="D31" s="115">
        <v>80</v>
      </c>
      <c r="E31" s="115"/>
      <c r="F31" s="115">
        <v>120</v>
      </c>
      <c r="G31" s="115">
        <v>1</v>
      </c>
      <c r="H31" s="124">
        <f t="shared" si="0"/>
        <v>200</v>
      </c>
      <c r="I31" s="115">
        <v>1</v>
      </c>
      <c r="J31" s="117">
        <f>11+8</f>
        <v>19</v>
      </c>
      <c r="K31" s="115">
        <v>105</v>
      </c>
      <c r="L31" s="115">
        <v>9</v>
      </c>
      <c r="M31" s="115"/>
      <c r="N31" s="115"/>
      <c r="O31" s="115"/>
      <c r="P31" s="124">
        <f t="shared" si="1"/>
        <v>9</v>
      </c>
      <c r="Q31" s="117">
        <v>1.5</v>
      </c>
      <c r="R31" s="115" t="s">
        <v>123</v>
      </c>
      <c r="S31" s="142"/>
      <c r="T31" s="115"/>
      <c r="U31" s="118">
        <v>0.2</v>
      </c>
      <c r="V31" s="118">
        <v>0.5</v>
      </c>
      <c r="W31" s="118">
        <v>0.99</v>
      </c>
      <c r="X31" s="115"/>
      <c r="Y31" s="119">
        <v>4.2</v>
      </c>
      <c r="Z31" s="125">
        <f t="shared" si="10"/>
        <v>6</v>
      </c>
      <c r="AA31" s="126">
        <f t="shared" si="3"/>
        <v>0</v>
      </c>
      <c r="AB31" s="127">
        <f t="shared" si="4"/>
        <v>0.03</v>
      </c>
      <c r="AC31" s="126">
        <f t="shared" si="5"/>
        <v>6</v>
      </c>
      <c r="AD31" s="126">
        <f t="shared" si="6"/>
        <v>0.52500000000000002</v>
      </c>
      <c r="AE31" s="126">
        <f t="shared" si="7"/>
        <v>105</v>
      </c>
      <c r="AF31" s="126">
        <f t="shared" si="8"/>
        <v>0.65625</v>
      </c>
      <c r="AG31" s="128">
        <f t="shared" si="9"/>
        <v>1.05</v>
      </c>
    </row>
    <row r="32" spans="1:34" ht="15.75" customHeight="1" x14ac:dyDescent="0.35">
      <c r="A32" s="61" t="s">
        <v>56</v>
      </c>
      <c r="B32" s="48" t="s">
        <v>54</v>
      </c>
      <c r="C32" s="62" t="s">
        <v>124</v>
      </c>
      <c r="D32" s="115">
        <v>90</v>
      </c>
      <c r="E32" s="115"/>
      <c r="F32" s="115"/>
      <c r="G32" s="115">
        <v>8</v>
      </c>
      <c r="H32" s="124">
        <f t="shared" si="0"/>
        <v>90</v>
      </c>
      <c r="I32" s="115">
        <v>2</v>
      </c>
      <c r="J32" s="117">
        <v>18</v>
      </c>
      <c r="K32" s="115">
        <v>175</v>
      </c>
      <c r="L32" s="115">
        <v>12</v>
      </c>
      <c r="M32" s="115"/>
      <c r="N32" s="115"/>
      <c r="O32" s="115"/>
      <c r="P32" s="124">
        <f t="shared" si="1"/>
        <v>12</v>
      </c>
      <c r="Q32" s="117">
        <v>1.1000000000000001</v>
      </c>
      <c r="R32" s="115" t="s">
        <v>110</v>
      </c>
      <c r="S32" s="142" t="s">
        <v>119</v>
      </c>
      <c r="T32" s="115" t="s">
        <v>59</v>
      </c>
      <c r="U32" s="118">
        <v>0.6</v>
      </c>
      <c r="V32" s="118">
        <v>0.25</v>
      </c>
      <c r="W32" s="118">
        <v>0.8</v>
      </c>
      <c r="X32" s="115"/>
      <c r="Y32" s="119">
        <v>4.3</v>
      </c>
      <c r="Z32" s="125">
        <f t="shared" si="10"/>
        <v>10.909090909090908</v>
      </c>
      <c r="AA32" s="126">
        <f t="shared" si="3"/>
        <v>0</v>
      </c>
      <c r="AB32" s="127">
        <f t="shared" si="4"/>
        <v>0.1212121212121212</v>
      </c>
      <c r="AC32" s="126">
        <f t="shared" si="5"/>
        <v>5.4545454545454541</v>
      </c>
      <c r="AD32" s="126">
        <f t="shared" si="6"/>
        <v>1.9444444444444444</v>
      </c>
      <c r="AE32" s="126">
        <f t="shared" si="7"/>
        <v>87.5</v>
      </c>
      <c r="AF32" s="126">
        <f t="shared" si="8"/>
        <v>4.8611111111111107</v>
      </c>
      <c r="AG32" s="128">
        <f t="shared" si="9"/>
        <v>2.5925925925925926</v>
      </c>
    </row>
    <row r="33" spans="1:36" ht="17.25" customHeight="1" x14ac:dyDescent="0.35">
      <c r="A33" s="61" t="s">
        <v>56</v>
      </c>
      <c r="B33" s="48" t="s">
        <v>54</v>
      </c>
      <c r="C33" s="62" t="s">
        <v>125</v>
      </c>
      <c r="D33" s="115">
        <v>45</v>
      </c>
      <c r="E33" s="115"/>
      <c r="F33" s="115"/>
      <c r="G33" s="115">
        <v>4</v>
      </c>
      <c r="H33" s="124">
        <f t="shared" si="0"/>
        <v>45</v>
      </c>
      <c r="I33" s="115">
        <v>1</v>
      </c>
      <c r="J33" s="117"/>
      <c r="K33" s="115">
        <v>80</v>
      </c>
      <c r="L33" s="115">
        <v>6</v>
      </c>
      <c r="M33" s="115"/>
      <c r="N33" s="115"/>
      <c r="O33" s="115"/>
      <c r="P33" s="124">
        <f t="shared" si="1"/>
        <v>6</v>
      </c>
      <c r="Q33" s="117">
        <v>1.1000000000000001</v>
      </c>
      <c r="R33" s="115" t="s">
        <v>126</v>
      </c>
      <c r="S33" s="142" t="s">
        <v>119</v>
      </c>
      <c r="T33" s="115" t="s">
        <v>59</v>
      </c>
      <c r="U33" s="118">
        <v>0.25</v>
      </c>
      <c r="V33" s="118">
        <v>0.35</v>
      </c>
      <c r="W33" s="118">
        <v>0.8</v>
      </c>
      <c r="X33" s="115"/>
      <c r="Y33" s="119">
        <v>5.5</v>
      </c>
      <c r="Z33" s="125">
        <f t="shared" si="10"/>
        <v>5.4545454545454541</v>
      </c>
      <c r="AA33" s="126">
        <f t="shared" si="3"/>
        <v>0</v>
      </c>
      <c r="AB33" s="127">
        <f t="shared" si="4"/>
        <v>0.1212121212121212</v>
      </c>
      <c r="AC33" s="126">
        <f t="shared" si="5"/>
        <v>5.4545454545454541</v>
      </c>
      <c r="AD33" s="126">
        <f t="shared" si="6"/>
        <v>1.7777777777777777</v>
      </c>
      <c r="AE33" s="126">
        <f t="shared" si="7"/>
        <v>80</v>
      </c>
      <c r="AF33" s="126">
        <f t="shared" si="8"/>
        <v>2.3703703703703707</v>
      </c>
      <c r="AG33" s="128">
        <f t="shared" si="9"/>
        <v>2.7350427350427347</v>
      </c>
    </row>
    <row r="34" spans="1:36" ht="15.75" customHeight="1" x14ac:dyDescent="0.35">
      <c r="A34" s="61" t="s">
        <v>56</v>
      </c>
      <c r="B34" s="48" t="s">
        <v>54</v>
      </c>
      <c r="C34" s="62" t="s">
        <v>127</v>
      </c>
      <c r="D34" s="115"/>
      <c r="E34" s="115">
        <v>250</v>
      </c>
      <c r="F34" s="115"/>
      <c r="G34" s="115">
        <v>20</v>
      </c>
      <c r="H34" s="124">
        <f t="shared" ref="H34:H65" si="11">SUM(D34:F34)</f>
        <v>250</v>
      </c>
      <c r="I34" s="115">
        <v>3</v>
      </c>
      <c r="J34" s="117">
        <v>15</v>
      </c>
      <c r="K34" s="115">
        <v>400</v>
      </c>
      <c r="L34" s="115"/>
      <c r="M34" s="115">
        <v>20</v>
      </c>
      <c r="N34" s="115"/>
      <c r="O34" s="115"/>
      <c r="P34" s="124">
        <f t="shared" ref="P34:P65" si="12">SUBTOTAL(9,L34:N34)</f>
        <v>20</v>
      </c>
      <c r="Q34" s="117">
        <v>1</v>
      </c>
      <c r="R34" s="115" t="s">
        <v>128</v>
      </c>
      <c r="S34" s="142" t="s">
        <v>112</v>
      </c>
      <c r="T34" s="115" t="s">
        <v>70</v>
      </c>
      <c r="U34" s="118">
        <v>0.5</v>
      </c>
      <c r="V34" s="118">
        <v>0.5</v>
      </c>
      <c r="W34" s="118">
        <v>0.8</v>
      </c>
      <c r="X34" s="115">
        <v>18</v>
      </c>
      <c r="Y34" s="119">
        <v>3.8</v>
      </c>
      <c r="Z34" s="125">
        <f t="shared" si="10"/>
        <v>20</v>
      </c>
      <c r="AA34" s="126">
        <f t="shared" ref="AA34:AA65" si="13">IFERROR(O34/Q34,0)</f>
        <v>0</v>
      </c>
      <c r="AB34" s="127">
        <f t="shared" ref="AB34:AB65" si="14">IFERROR(Z34/H34,0)</f>
        <v>0.08</v>
      </c>
      <c r="AC34" s="126">
        <f t="shared" ref="AC34:AC65" si="15">IFERROR(Z34/I34,0)</f>
        <v>6.666666666666667</v>
      </c>
      <c r="AD34" s="126">
        <f t="shared" ref="AD34:AD65" si="16">IFERROR(K34/H34,0)</f>
        <v>1.6</v>
      </c>
      <c r="AE34" s="126">
        <f t="shared" ref="AE34:AE65" si="17">IFERROR(K34/I34,0)</f>
        <v>133.33333333333334</v>
      </c>
      <c r="AF34" s="126">
        <f t="shared" ref="AF34:AF65" si="18">IFERROR((K34/(1-U34))/H34,0)</f>
        <v>3.2</v>
      </c>
      <c r="AG34" s="128">
        <f t="shared" ref="AG34:AG65" si="19">IFERROR((K34/(1-V34))/H34,0)</f>
        <v>3.2</v>
      </c>
    </row>
    <row r="35" spans="1:36" ht="15.75" customHeight="1" x14ac:dyDescent="0.35">
      <c r="A35" s="61" t="s">
        <v>66</v>
      </c>
      <c r="B35" s="48" t="s">
        <v>54</v>
      </c>
      <c r="C35" s="62" t="s">
        <v>129</v>
      </c>
      <c r="D35" s="115"/>
      <c r="E35" s="115">
        <v>100</v>
      </c>
      <c r="F35" s="115">
        <v>50</v>
      </c>
      <c r="G35" s="115"/>
      <c r="H35" s="124">
        <f t="shared" si="11"/>
        <v>150</v>
      </c>
      <c r="I35" s="115">
        <v>3</v>
      </c>
      <c r="J35" s="117">
        <v>17</v>
      </c>
      <c r="K35" s="115">
        <v>250</v>
      </c>
      <c r="L35" s="115"/>
      <c r="M35" s="115">
        <f>2*4</f>
        <v>8</v>
      </c>
      <c r="N35" s="115"/>
      <c r="O35" s="115" t="s">
        <v>131</v>
      </c>
      <c r="P35" s="124">
        <f t="shared" si="12"/>
        <v>8</v>
      </c>
      <c r="Q35" s="117">
        <v>2</v>
      </c>
      <c r="R35" s="115" t="s">
        <v>132</v>
      </c>
      <c r="S35" s="142"/>
      <c r="T35" s="115"/>
      <c r="U35" s="118">
        <v>0.1</v>
      </c>
      <c r="V35" s="118">
        <v>0.6</v>
      </c>
      <c r="W35" s="118">
        <v>0.1</v>
      </c>
      <c r="X35" s="115">
        <v>20</v>
      </c>
      <c r="Y35" s="119">
        <v>5.0999999999999996</v>
      </c>
      <c r="Z35" s="125">
        <f t="shared" si="10"/>
        <v>4</v>
      </c>
      <c r="AA35" s="126">
        <f t="shared" si="13"/>
        <v>0</v>
      </c>
      <c r="AB35" s="127">
        <f t="shared" si="14"/>
        <v>2.6666666666666668E-2</v>
      </c>
      <c r="AC35" s="126">
        <f t="shared" si="15"/>
        <v>1.3333333333333333</v>
      </c>
      <c r="AD35" s="126">
        <f t="shared" si="16"/>
        <v>1.6666666666666667</v>
      </c>
      <c r="AE35" s="126">
        <f t="shared" si="17"/>
        <v>83.333333333333329</v>
      </c>
      <c r="AF35" s="126">
        <f t="shared" si="18"/>
        <v>1.8518518518518519</v>
      </c>
      <c r="AG35" s="128">
        <f t="shared" si="19"/>
        <v>4.166666666666667</v>
      </c>
    </row>
    <row r="36" spans="1:36" ht="15.75" customHeight="1" x14ac:dyDescent="0.35">
      <c r="A36" s="61" t="s">
        <v>56</v>
      </c>
      <c r="B36" s="48" t="s">
        <v>54</v>
      </c>
      <c r="C36" s="62" t="s">
        <v>133</v>
      </c>
      <c r="D36" s="115"/>
      <c r="E36" s="115">
        <v>200</v>
      </c>
      <c r="F36" s="115">
        <v>20</v>
      </c>
      <c r="G36" s="115">
        <v>25</v>
      </c>
      <c r="H36" s="124">
        <f t="shared" si="11"/>
        <v>220</v>
      </c>
      <c r="I36" s="115">
        <v>3</v>
      </c>
      <c r="J36" s="117">
        <v>10</v>
      </c>
      <c r="K36" s="115">
        <v>400</v>
      </c>
      <c r="L36" s="115"/>
      <c r="M36" s="115">
        <f>14*3</f>
        <v>42</v>
      </c>
      <c r="N36" s="115"/>
      <c r="O36" s="115"/>
      <c r="P36" s="124">
        <f t="shared" si="12"/>
        <v>42</v>
      </c>
      <c r="Q36" s="117">
        <v>1.8</v>
      </c>
      <c r="R36" s="115" t="s">
        <v>110</v>
      </c>
      <c r="S36" s="142" t="s">
        <v>111</v>
      </c>
      <c r="T36" s="115"/>
      <c r="U36" s="118">
        <v>0.15</v>
      </c>
      <c r="V36" s="118">
        <v>0.45</v>
      </c>
      <c r="W36" s="118">
        <v>0.8</v>
      </c>
      <c r="X36" s="115">
        <v>15</v>
      </c>
      <c r="Y36" s="119">
        <v>3.8</v>
      </c>
      <c r="Z36" s="125">
        <f t="shared" si="10"/>
        <v>23.333333333333332</v>
      </c>
      <c r="AA36" s="126">
        <f t="shared" si="13"/>
        <v>0</v>
      </c>
      <c r="AB36" s="127">
        <f t="shared" si="14"/>
        <v>0.10606060606060605</v>
      </c>
      <c r="AC36" s="126">
        <f t="shared" si="15"/>
        <v>7.7777777777777777</v>
      </c>
      <c r="AD36" s="126">
        <f t="shared" si="16"/>
        <v>1.8181818181818181</v>
      </c>
      <c r="AE36" s="126">
        <f t="shared" si="17"/>
        <v>133.33333333333334</v>
      </c>
      <c r="AF36" s="126">
        <f t="shared" si="18"/>
        <v>2.1390374331550803</v>
      </c>
      <c r="AG36" s="128">
        <f t="shared" si="19"/>
        <v>3.3057851239669422</v>
      </c>
    </row>
    <row r="37" spans="1:36" ht="15.75" customHeight="1" x14ac:dyDescent="0.35">
      <c r="A37" s="61" t="s">
        <v>56</v>
      </c>
      <c r="B37" s="48" t="s">
        <v>54</v>
      </c>
      <c r="C37" s="62" t="s">
        <v>134</v>
      </c>
      <c r="D37" s="115"/>
      <c r="E37" s="115"/>
      <c r="F37" s="115"/>
      <c r="G37" s="115"/>
      <c r="H37" s="124">
        <f t="shared" si="11"/>
        <v>0</v>
      </c>
      <c r="I37" s="115"/>
      <c r="J37" s="117"/>
      <c r="K37" s="115">
        <v>350</v>
      </c>
      <c r="L37" s="115">
        <v>15</v>
      </c>
      <c r="M37" s="115"/>
      <c r="N37" s="115"/>
      <c r="O37" s="115">
        <v>20</v>
      </c>
      <c r="P37" s="124">
        <f t="shared" si="12"/>
        <v>15</v>
      </c>
      <c r="Q37" s="117">
        <v>1</v>
      </c>
      <c r="R37" s="115" t="s">
        <v>65</v>
      </c>
      <c r="S37" s="142" t="s">
        <v>111</v>
      </c>
      <c r="T37" s="115"/>
      <c r="U37" s="118">
        <v>0.4</v>
      </c>
      <c r="V37" s="118">
        <v>0.4</v>
      </c>
      <c r="W37" s="118">
        <v>0.8</v>
      </c>
      <c r="X37" s="115"/>
      <c r="Y37" s="119">
        <v>3.8</v>
      </c>
      <c r="Z37" s="125">
        <f t="shared" si="10"/>
        <v>15</v>
      </c>
      <c r="AA37" s="126">
        <f t="shared" si="13"/>
        <v>20</v>
      </c>
      <c r="AB37" s="127">
        <f t="shared" si="14"/>
        <v>0</v>
      </c>
      <c r="AC37" s="126">
        <f t="shared" si="15"/>
        <v>0</v>
      </c>
      <c r="AD37" s="126">
        <f t="shared" si="16"/>
        <v>0</v>
      </c>
      <c r="AE37" s="126">
        <f t="shared" si="17"/>
        <v>0</v>
      </c>
      <c r="AF37" s="126">
        <f t="shared" si="18"/>
        <v>0</v>
      </c>
      <c r="AG37" s="128">
        <f t="shared" si="19"/>
        <v>0</v>
      </c>
    </row>
    <row r="38" spans="1:36" ht="15.75" customHeight="1" x14ac:dyDescent="0.35">
      <c r="A38" s="61" t="s">
        <v>53</v>
      </c>
      <c r="B38" s="48" t="s">
        <v>101</v>
      </c>
      <c r="C38" s="62" t="s">
        <v>135</v>
      </c>
      <c r="D38" s="115">
        <v>35</v>
      </c>
      <c r="E38" s="115"/>
      <c r="F38" s="115">
        <v>45</v>
      </c>
      <c r="G38" s="115"/>
      <c r="H38" s="124">
        <f t="shared" si="11"/>
        <v>80</v>
      </c>
      <c r="I38" s="115">
        <v>2</v>
      </c>
      <c r="J38" s="117">
        <v>14</v>
      </c>
      <c r="K38" s="115">
        <v>90</v>
      </c>
      <c r="L38" s="115">
        <v>4</v>
      </c>
      <c r="M38" s="115"/>
      <c r="N38" s="115"/>
      <c r="O38" s="115"/>
      <c r="P38" s="124">
        <f t="shared" si="12"/>
        <v>4</v>
      </c>
      <c r="Q38" s="117">
        <v>1</v>
      </c>
      <c r="R38" s="115" t="s">
        <v>93</v>
      </c>
      <c r="S38" s="142"/>
      <c r="T38" s="115"/>
      <c r="U38" s="118">
        <v>0.35</v>
      </c>
      <c r="V38" s="118">
        <v>0.05</v>
      </c>
      <c r="W38" s="118">
        <v>0.99</v>
      </c>
      <c r="X38" s="115"/>
      <c r="Y38" s="119">
        <v>4.8</v>
      </c>
      <c r="Z38" s="125">
        <f t="shared" si="10"/>
        <v>4</v>
      </c>
      <c r="AA38" s="126">
        <f t="shared" si="13"/>
        <v>0</v>
      </c>
      <c r="AB38" s="127">
        <f t="shared" si="14"/>
        <v>0.05</v>
      </c>
      <c r="AC38" s="126">
        <f t="shared" si="15"/>
        <v>2</v>
      </c>
      <c r="AD38" s="126">
        <f t="shared" si="16"/>
        <v>1.125</v>
      </c>
      <c r="AE38" s="126">
        <f t="shared" si="17"/>
        <v>45</v>
      </c>
      <c r="AF38" s="126">
        <f t="shared" si="18"/>
        <v>1.7307692307692306</v>
      </c>
      <c r="AG38" s="128">
        <f t="shared" si="19"/>
        <v>1.1842105263157896</v>
      </c>
    </row>
    <row r="39" spans="1:36" ht="15.75" customHeight="1" x14ac:dyDescent="0.35">
      <c r="A39" s="61" t="s">
        <v>80</v>
      </c>
      <c r="B39" s="48" t="s">
        <v>54</v>
      </c>
      <c r="C39" s="62" t="s">
        <v>136</v>
      </c>
      <c r="D39" s="115"/>
      <c r="E39" s="115">
        <v>80</v>
      </c>
      <c r="F39" s="115">
        <v>70</v>
      </c>
      <c r="G39" s="115">
        <v>2</v>
      </c>
      <c r="H39" s="124">
        <f t="shared" si="11"/>
        <v>150</v>
      </c>
      <c r="I39" s="115">
        <v>2</v>
      </c>
      <c r="J39" s="117" t="s">
        <v>137</v>
      </c>
      <c r="K39" s="115">
        <v>90</v>
      </c>
      <c r="L39" s="115"/>
      <c r="M39" s="115">
        <v>7</v>
      </c>
      <c r="N39" s="115"/>
      <c r="O39" s="115"/>
      <c r="P39" s="124">
        <f t="shared" si="12"/>
        <v>7</v>
      </c>
      <c r="Q39" s="117">
        <v>1.8</v>
      </c>
      <c r="R39" s="115" t="s">
        <v>138</v>
      </c>
      <c r="S39" s="142" t="s">
        <v>76</v>
      </c>
      <c r="T39" s="115"/>
      <c r="U39" s="118">
        <v>0.15</v>
      </c>
      <c r="V39" s="118">
        <v>0.4</v>
      </c>
      <c r="W39" s="118">
        <v>0.99</v>
      </c>
      <c r="X39" s="115">
        <v>12</v>
      </c>
      <c r="Y39" s="119">
        <v>5.8</v>
      </c>
      <c r="Z39" s="125">
        <f t="shared" si="10"/>
        <v>3.8888888888888888</v>
      </c>
      <c r="AA39" s="126">
        <f t="shared" si="13"/>
        <v>0</v>
      </c>
      <c r="AB39" s="127">
        <f t="shared" si="14"/>
        <v>2.5925925925925925E-2</v>
      </c>
      <c r="AC39" s="126">
        <f t="shared" si="15"/>
        <v>1.9444444444444444</v>
      </c>
      <c r="AD39" s="126">
        <f t="shared" si="16"/>
        <v>0.6</v>
      </c>
      <c r="AE39" s="126">
        <f t="shared" si="17"/>
        <v>45</v>
      </c>
      <c r="AF39" s="126">
        <f t="shared" si="18"/>
        <v>0.70588235294117652</v>
      </c>
      <c r="AG39" s="128">
        <f t="shared" si="19"/>
        <v>1</v>
      </c>
    </row>
    <row r="40" spans="1:36" ht="15.75" customHeight="1" x14ac:dyDescent="0.35">
      <c r="A40" s="61" t="s">
        <v>139</v>
      </c>
      <c r="B40" s="48" t="s">
        <v>54</v>
      </c>
      <c r="C40" s="62" t="s">
        <v>140</v>
      </c>
      <c r="D40" s="115"/>
      <c r="E40" s="115"/>
      <c r="F40" s="115"/>
      <c r="G40" s="115"/>
      <c r="H40" s="124">
        <f t="shared" si="11"/>
        <v>0</v>
      </c>
      <c r="I40" s="115"/>
      <c r="J40" s="117"/>
      <c r="K40" s="115">
        <v>550</v>
      </c>
      <c r="L40" s="115">
        <v>30</v>
      </c>
      <c r="M40" s="115"/>
      <c r="N40" s="115"/>
      <c r="O40" s="115"/>
      <c r="P40" s="124">
        <f t="shared" si="12"/>
        <v>30</v>
      </c>
      <c r="Q40" s="117">
        <v>1</v>
      </c>
      <c r="R40" s="115" t="s">
        <v>112</v>
      </c>
      <c r="S40" s="142" t="s">
        <v>70</v>
      </c>
      <c r="T40" s="115"/>
      <c r="U40" s="118">
        <v>0.35</v>
      </c>
      <c r="V40" s="118">
        <v>0.3</v>
      </c>
      <c r="W40" s="118">
        <v>0.3</v>
      </c>
      <c r="X40" s="115"/>
      <c r="Y40" s="119"/>
      <c r="Z40" s="125">
        <f t="shared" si="10"/>
        <v>30</v>
      </c>
      <c r="AA40" s="126">
        <f t="shared" si="13"/>
        <v>0</v>
      </c>
      <c r="AB40" s="127">
        <f t="shared" si="14"/>
        <v>0</v>
      </c>
      <c r="AC40" s="126">
        <f t="shared" si="15"/>
        <v>0</v>
      </c>
      <c r="AD40" s="126">
        <f t="shared" si="16"/>
        <v>0</v>
      </c>
      <c r="AE40" s="126">
        <f t="shared" si="17"/>
        <v>0</v>
      </c>
      <c r="AF40" s="126">
        <f t="shared" si="18"/>
        <v>0</v>
      </c>
      <c r="AG40" s="128">
        <f t="shared" si="19"/>
        <v>0</v>
      </c>
      <c r="AH40" s="73"/>
      <c r="AJ40" s="73"/>
    </row>
    <row r="41" spans="1:36" ht="15.75" customHeight="1" x14ac:dyDescent="0.35">
      <c r="A41" s="61" t="s">
        <v>139</v>
      </c>
      <c r="B41" s="48" t="s">
        <v>54</v>
      </c>
      <c r="C41" s="62" t="s">
        <v>141</v>
      </c>
      <c r="D41" s="115"/>
      <c r="E41" s="115"/>
      <c r="F41" s="115">
        <v>300</v>
      </c>
      <c r="G41" s="115">
        <v>25</v>
      </c>
      <c r="H41" s="124">
        <f t="shared" si="11"/>
        <v>300</v>
      </c>
      <c r="I41" s="115">
        <v>3</v>
      </c>
      <c r="J41" s="117">
        <v>24</v>
      </c>
      <c r="K41" s="115">
        <v>850</v>
      </c>
      <c r="L41" s="115">
        <v>55</v>
      </c>
      <c r="M41" s="115"/>
      <c r="N41" s="115"/>
      <c r="O41" s="115">
        <v>60</v>
      </c>
      <c r="P41" s="124">
        <f t="shared" si="12"/>
        <v>55</v>
      </c>
      <c r="Q41" s="117">
        <v>1.5</v>
      </c>
      <c r="R41" s="115" t="s">
        <v>111</v>
      </c>
      <c r="S41" s="142"/>
      <c r="T41" s="115"/>
      <c r="U41" s="118">
        <v>0.6</v>
      </c>
      <c r="V41" s="118">
        <v>0.6</v>
      </c>
      <c r="W41" s="118">
        <v>0.8</v>
      </c>
      <c r="X41" s="115"/>
      <c r="Y41" s="119">
        <v>3.3</v>
      </c>
      <c r="Z41" s="125">
        <f t="shared" si="10"/>
        <v>36.666666666666664</v>
      </c>
      <c r="AA41" s="126">
        <f t="shared" si="13"/>
        <v>40</v>
      </c>
      <c r="AB41" s="127">
        <f t="shared" si="14"/>
        <v>0.12222222222222222</v>
      </c>
      <c r="AC41" s="126">
        <f t="shared" si="15"/>
        <v>12.222222222222221</v>
      </c>
      <c r="AD41" s="126">
        <f t="shared" si="16"/>
        <v>2.8333333333333335</v>
      </c>
      <c r="AE41" s="126">
        <f t="shared" si="17"/>
        <v>283.33333333333331</v>
      </c>
      <c r="AF41" s="126">
        <f t="shared" si="18"/>
        <v>7.083333333333333</v>
      </c>
      <c r="AG41" s="128">
        <f t="shared" si="19"/>
        <v>7.083333333333333</v>
      </c>
    </row>
    <row r="42" spans="1:36" ht="15.75" customHeight="1" x14ac:dyDescent="0.35">
      <c r="A42" s="61" t="s">
        <v>56</v>
      </c>
      <c r="B42" s="48" t="s">
        <v>50</v>
      </c>
      <c r="C42" s="62" t="s">
        <v>142</v>
      </c>
      <c r="D42" s="115">
        <v>100</v>
      </c>
      <c r="E42" s="115"/>
      <c r="F42" s="115"/>
      <c r="G42" s="115">
        <v>2</v>
      </c>
      <c r="H42" s="124">
        <f t="shared" si="11"/>
        <v>100</v>
      </c>
      <c r="I42" s="115">
        <v>2</v>
      </c>
      <c r="J42" s="117">
        <v>9</v>
      </c>
      <c r="K42" s="115">
        <v>200</v>
      </c>
      <c r="L42" s="115">
        <v>11</v>
      </c>
      <c r="M42" s="115"/>
      <c r="N42" s="115"/>
      <c r="O42" s="115"/>
      <c r="P42" s="124">
        <f t="shared" si="12"/>
        <v>11</v>
      </c>
      <c r="Q42" s="117">
        <v>0.8</v>
      </c>
      <c r="R42" s="115" t="s">
        <v>110</v>
      </c>
      <c r="S42" s="142" t="s">
        <v>119</v>
      </c>
      <c r="T42" s="115"/>
      <c r="U42" s="118">
        <v>0.6</v>
      </c>
      <c r="V42" s="118">
        <v>0.55000000000000004</v>
      </c>
      <c r="W42" s="118">
        <v>0.8</v>
      </c>
      <c r="X42" s="115"/>
      <c r="Y42" s="119">
        <v>5</v>
      </c>
      <c r="Z42" s="125">
        <f t="shared" si="10"/>
        <v>13.75</v>
      </c>
      <c r="AA42" s="126">
        <f t="shared" si="13"/>
        <v>0</v>
      </c>
      <c r="AB42" s="127">
        <f t="shared" si="14"/>
        <v>0.13750000000000001</v>
      </c>
      <c r="AC42" s="126">
        <f t="shared" si="15"/>
        <v>6.875</v>
      </c>
      <c r="AD42" s="126">
        <f t="shared" si="16"/>
        <v>2</v>
      </c>
      <c r="AE42" s="126">
        <f t="shared" si="17"/>
        <v>100</v>
      </c>
      <c r="AF42" s="126">
        <f t="shared" si="18"/>
        <v>5</v>
      </c>
      <c r="AG42" s="128">
        <f t="shared" si="19"/>
        <v>4.4444444444444455</v>
      </c>
    </row>
    <row r="43" spans="1:36" ht="15.75" customHeight="1" x14ac:dyDescent="0.35">
      <c r="A43" s="61" t="s">
        <v>45</v>
      </c>
      <c r="B43" s="48" t="s">
        <v>50</v>
      </c>
      <c r="C43" s="62" t="s">
        <v>143</v>
      </c>
      <c r="D43" s="115"/>
      <c r="E43" s="115"/>
      <c r="F43" s="115"/>
      <c r="G43" s="115"/>
      <c r="H43" s="124">
        <f t="shared" si="11"/>
        <v>0</v>
      </c>
      <c r="I43" s="115">
        <v>2</v>
      </c>
      <c r="J43" s="117"/>
      <c r="K43" s="115">
        <v>100</v>
      </c>
      <c r="L43" s="115">
        <v>6</v>
      </c>
      <c r="M43" s="115"/>
      <c r="N43" s="115"/>
      <c r="O43" s="115"/>
      <c r="P43" s="124">
        <f t="shared" si="12"/>
        <v>6</v>
      </c>
      <c r="Q43" s="117">
        <v>1</v>
      </c>
      <c r="R43" s="115" t="s">
        <v>144</v>
      </c>
      <c r="S43" s="142"/>
      <c r="T43" s="115"/>
      <c r="U43" s="118">
        <v>0.2</v>
      </c>
      <c r="V43" s="118">
        <v>0.3</v>
      </c>
      <c r="W43" s="118">
        <v>0.99</v>
      </c>
      <c r="X43" s="115"/>
      <c r="Y43" s="119">
        <v>4.5</v>
      </c>
      <c r="Z43" s="125">
        <f t="shared" ref="Z43:Z74" si="20">IFERROR(P43/Q43,0)</f>
        <v>6</v>
      </c>
      <c r="AA43" s="126">
        <f t="shared" si="13"/>
        <v>0</v>
      </c>
      <c r="AB43" s="127">
        <f t="shared" si="14"/>
        <v>0</v>
      </c>
      <c r="AC43" s="126">
        <f t="shared" si="15"/>
        <v>3</v>
      </c>
      <c r="AD43" s="126">
        <f t="shared" si="16"/>
        <v>0</v>
      </c>
      <c r="AE43" s="126">
        <f t="shared" si="17"/>
        <v>50</v>
      </c>
      <c r="AF43" s="126">
        <f t="shared" si="18"/>
        <v>0</v>
      </c>
      <c r="AG43" s="128">
        <f t="shared" si="19"/>
        <v>0</v>
      </c>
    </row>
    <row r="44" spans="1:36" ht="15.75" customHeight="1" x14ac:dyDescent="0.35">
      <c r="A44" s="61" t="s">
        <v>56</v>
      </c>
      <c r="B44" s="48" t="s">
        <v>50</v>
      </c>
      <c r="C44" s="62" t="s">
        <v>145</v>
      </c>
      <c r="D44" s="115">
        <v>250</v>
      </c>
      <c r="E44" s="115"/>
      <c r="F44" s="115"/>
      <c r="G44" s="115">
        <v>25</v>
      </c>
      <c r="H44" s="124">
        <f t="shared" si="11"/>
        <v>250</v>
      </c>
      <c r="I44" s="115">
        <v>3</v>
      </c>
      <c r="J44" s="117">
        <v>24</v>
      </c>
      <c r="K44" s="115">
        <v>600</v>
      </c>
      <c r="L44" s="115">
        <v>28</v>
      </c>
      <c r="M44" s="115"/>
      <c r="N44" s="115"/>
      <c r="O44" s="115"/>
      <c r="P44" s="124">
        <f t="shared" si="12"/>
        <v>28</v>
      </c>
      <c r="Q44" s="117">
        <v>1</v>
      </c>
      <c r="R44" s="115" t="s">
        <v>146</v>
      </c>
      <c r="S44" s="142"/>
      <c r="T44" s="115"/>
      <c r="U44" s="118">
        <v>0.6</v>
      </c>
      <c r="V44" s="118">
        <v>0.4</v>
      </c>
      <c r="W44" s="118">
        <v>0.8</v>
      </c>
      <c r="X44" s="115"/>
      <c r="Y44" s="119">
        <v>5.5</v>
      </c>
      <c r="Z44" s="125">
        <f t="shared" si="20"/>
        <v>28</v>
      </c>
      <c r="AA44" s="126">
        <f t="shared" si="13"/>
        <v>0</v>
      </c>
      <c r="AB44" s="127">
        <f t="shared" si="14"/>
        <v>0.112</v>
      </c>
      <c r="AC44" s="126">
        <f t="shared" si="15"/>
        <v>9.3333333333333339</v>
      </c>
      <c r="AD44" s="126">
        <f t="shared" si="16"/>
        <v>2.4</v>
      </c>
      <c r="AE44" s="126">
        <f t="shared" si="17"/>
        <v>200</v>
      </c>
      <c r="AF44" s="126">
        <f t="shared" si="18"/>
        <v>6</v>
      </c>
      <c r="AG44" s="128">
        <f t="shared" si="19"/>
        <v>4</v>
      </c>
      <c r="AH44" s="73"/>
    </row>
    <row r="45" spans="1:36" ht="15.75" customHeight="1" x14ac:dyDescent="0.35">
      <c r="A45" s="61" t="s">
        <v>53</v>
      </c>
      <c r="B45" s="48" t="s">
        <v>77</v>
      </c>
      <c r="C45" s="68" t="s">
        <v>147</v>
      </c>
      <c r="D45" s="115">
        <v>60</v>
      </c>
      <c r="E45" s="115"/>
      <c r="F45" s="115">
        <v>25</v>
      </c>
      <c r="G45" s="115"/>
      <c r="H45" s="124">
        <f t="shared" si="11"/>
        <v>85</v>
      </c>
      <c r="I45" s="115">
        <v>2</v>
      </c>
      <c r="J45" s="117">
        <v>10</v>
      </c>
      <c r="K45" s="115">
        <v>95</v>
      </c>
      <c r="L45" s="115">
        <v>6</v>
      </c>
      <c r="M45" s="115"/>
      <c r="N45" s="115"/>
      <c r="O45" s="115"/>
      <c r="P45" s="124">
        <f t="shared" si="12"/>
        <v>6</v>
      </c>
      <c r="Q45" s="117">
        <v>1.2</v>
      </c>
      <c r="R45" s="115" t="s">
        <v>148</v>
      </c>
      <c r="S45" s="142"/>
      <c r="T45" s="115"/>
      <c r="U45" s="118">
        <v>0.35</v>
      </c>
      <c r="V45" s="118">
        <v>0.1</v>
      </c>
      <c r="W45" s="118">
        <v>0.99</v>
      </c>
      <c r="X45" s="115"/>
      <c r="Y45" s="119">
        <v>4.3</v>
      </c>
      <c r="Z45" s="125">
        <f t="shared" si="20"/>
        <v>5</v>
      </c>
      <c r="AA45" s="126">
        <f t="shared" si="13"/>
        <v>0</v>
      </c>
      <c r="AB45" s="127">
        <f t="shared" si="14"/>
        <v>5.8823529411764705E-2</v>
      </c>
      <c r="AC45" s="126">
        <f t="shared" si="15"/>
        <v>2.5</v>
      </c>
      <c r="AD45" s="126">
        <f t="shared" si="16"/>
        <v>1.1176470588235294</v>
      </c>
      <c r="AE45" s="126">
        <f t="shared" si="17"/>
        <v>47.5</v>
      </c>
      <c r="AF45" s="126">
        <f t="shared" si="18"/>
        <v>1.7194570135746607</v>
      </c>
      <c r="AG45" s="128">
        <f t="shared" si="19"/>
        <v>1.2418300653594772</v>
      </c>
    </row>
    <row r="46" spans="1:36" ht="15.75" customHeight="1" x14ac:dyDescent="0.35">
      <c r="A46" s="61" t="s">
        <v>45</v>
      </c>
      <c r="B46" s="48" t="s">
        <v>50</v>
      </c>
      <c r="C46" s="62" t="s">
        <v>149</v>
      </c>
      <c r="D46" s="115"/>
      <c r="E46" s="115"/>
      <c r="F46" s="115"/>
      <c r="G46" s="115">
        <v>3</v>
      </c>
      <c r="H46" s="124">
        <f t="shared" si="11"/>
        <v>0</v>
      </c>
      <c r="I46" s="115">
        <v>1</v>
      </c>
      <c r="J46" s="117">
        <v>3</v>
      </c>
      <c r="K46" s="115">
        <v>20</v>
      </c>
      <c r="L46" s="115">
        <v>3</v>
      </c>
      <c r="M46" s="115"/>
      <c r="N46" s="115"/>
      <c r="O46" s="115"/>
      <c r="P46" s="124">
        <f t="shared" si="12"/>
        <v>3</v>
      </c>
      <c r="Q46" s="117">
        <v>1</v>
      </c>
      <c r="R46" s="115" t="s">
        <v>150</v>
      </c>
      <c r="S46" s="142"/>
      <c r="T46" s="115"/>
      <c r="U46" s="118">
        <v>0.35</v>
      </c>
      <c r="V46" s="118">
        <v>0.05</v>
      </c>
      <c r="W46" s="118">
        <v>0.99</v>
      </c>
      <c r="X46" s="115"/>
      <c r="Y46" s="119">
        <v>3.3</v>
      </c>
      <c r="Z46" s="125">
        <f t="shared" si="20"/>
        <v>3</v>
      </c>
      <c r="AA46" s="126">
        <f t="shared" si="13"/>
        <v>0</v>
      </c>
      <c r="AB46" s="127">
        <f t="shared" si="14"/>
        <v>0</v>
      </c>
      <c r="AC46" s="126">
        <f t="shared" si="15"/>
        <v>3</v>
      </c>
      <c r="AD46" s="126">
        <f t="shared" si="16"/>
        <v>0</v>
      </c>
      <c r="AE46" s="126">
        <f t="shared" si="17"/>
        <v>20</v>
      </c>
      <c r="AF46" s="126">
        <f t="shared" si="18"/>
        <v>0</v>
      </c>
      <c r="AG46" s="128">
        <f t="shared" si="19"/>
        <v>0</v>
      </c>
    </row>
    <row r="47" spans="1:36" ht="15.75" customHeight="1" x14ac:dyDescent="0.35">
      <c r="A47" s="61" t="s">
        <v>45</v>
      </c>
      <c r="B47" s="48" t="s">
        <v>50</v>
      </c>
      <c r="C47" s="62" t="s">
        <v>151</v>
      </c>
      <c r="D47" s="115"/>
      <c r="E47" s="115"/>
      <c r="F47" s="115"/>
      <c r="G47" s="115"/>
      <c r="H47" s="124">
        <f t="shared" si="11"/>
        <v>0</v>
      </c>
      <c r="I47" s="115">
        <v>1</v>
      </c>
      <c r="J47" s="117"/>
      <c r="K47" s="115">
        <v>70</v>
      </c>
      <c r="L47" s="115">
        <v>5</v>
      </c>
      <c r="M47" s="115"/>
      <c r="N47" s="115"/>
      <c r="O47" s="115"/>
      <c r="P47" s="124">
        <f t="shared" si="12"/>
        <v>5</v>
      </c>
      <c r="Q47" s="117">
        <v>1.3</v>
      </c>
      <c r="R47" s="115" t="s">
        <v>150</v>
      </c>
      <c r="S47" s="142"/>
      <c r="T47" s="115"/>
      <c r="U47" s="118">
        <v>0.1</v>
      </c>
      <c r="V47" s="118">
        <v>0.3</v>
      </c>
      <c r="W47" s="118">
        <v>0.99</v>
      </c>
      <c r="X47" s="115"/>
      <c r="Y47" s="119">
        <v>4.3</v>
      </c>
      <c r="Z47" s="125">
        <f t="shared" si="20"/>
        <v>3.8461538461538458</v>
      </c>
      <c r="AA47" s="126">
        <f t="shared" si="13"/>
        <v>0</v>
      </c>
      <c r="AB47" s="127">
        <f t="shared" si="14"/>
        <v>0</v>
      </c>
      <c r="AC47" s="126">
        <f t="shared" si="15"/>
        <v>3.8461538461538458</v>
      </c>
      <c r="AD47" s="126">
        <f t="shared" si="16"/>
        <v>0</v>
      </c>
      <c r="AE47" s="126">
        <f t="shared" si="17"/>
        <v>70</v>
      </c>
      <c r="AF47" s="126">
        <f t="shared" si="18"/>
        <v>0</v>
      </c>
      <c r="AG47" s="128">
        <f t="shared" si="19"/>
        <v>0</v>
      </c>
    </row>
    <row r="48" spans="1:36" ht="15.75" customHeight="1" x14ac:dyDescent="0.35">
      <c r="A48" s="61" t="s">
        <v>45</v>
      </c>
      <c r="B48" s="48" t="s">
        <v>50</v>
      </c>
      <c r="C48" s="62" t="s">
        <v>152</v>
      </c>
      <c r="D48" s="115"/>
      <c r="E48" s="115"/>
      <c r="F48" s="115"/>
      <c r="G48" s="115"/>
      <c r="H48" s="124">
        <f t="shared" si="11"/>
        <v>0</v>
      </c>
      <c r="I48" s="115">
        <v>2</v>
      </c>
      <c r="J48" s="117"/>
      <c r="K48" s="115">
        <v>70</v>
      </c>
      <c r="L48" s="115">
        <v>6</v>
      </c>
      <c r="M48" s="115"/>
      <c r="N48" s="115"/>
      <c r="O48" s="115"/>
      <c r="P48" s="124">
        <f t="shared" si="12"/>
        <v>6</v>
      </c>
      <c r="Q48" s="117">
        <v>1</v>
      </c>
      <c r="R48" s="115" t="s">
        <v>150</v>
      </c>
      <c r="S48" s="142"/>
      <c r="T48" s="115"/>
      <c r="U48" s="118">
        <v>0.2</v>
      </c>
      <c r="V48" s="118">
        <v>0.3</v>
      </c>
      <c r="W48" s="118">
        <v>0.99</v>
      </c>
      <c r="X48" s="115"/>
      <c r="Y48" s="119">
        <v>5</v>
      </c>
      <c r="Z48" s="125">
        <f t="shared" si="20"/>
        <v>6</v>
      </c>
      <c r="AA48" s="126">
        <f t="shared" si="13"/>
        <v>0</v>
      </c>
      <c r="AB48" s="127">
        <f t="shared" si="14"/>
        <v>0</v>
      </c>
      <c r="AC48" s="126">
        <f t="shared" si="15"/>
        <v>3</v>
      </c>
      <c r="AD48" s="126">
        <f t="shared" si="16"/>
        <v>0</v>
      </c>
      <c r="AE48" s="126">
        <f t="shared" si="17"/>
        <v>35</v>
      </c>
      <c r="AF48" s="126">
        <f t="shared" si="18"/>
        <v>0</v>
      </c>
      <c r="AG48" s="128">
        <f t="shared" si="19"/>
        <v>0</v>
      </c>
    </row>
    <row r="49" spans="1:34" ht="15.75" customHeight="1" x14ac:dyDescent="0.35">
      <c r="A49" s="61" t="s">
        <v>49</v>
      </c>
      <c r="B49" s="48" t="s">
        <v>50</v>
      </c>
      <c r="C49" s="62" t="s">
        <v>153</v>
      </c>
      <c r="D49" s="115"/>
      <c r="E49" s="115"/>
      <c r="F49" s="115">
        <v>120</v>
      </c>
      <c r="G49" s="115"/>
      <c r="H49" s="124">
        <f t="shared" si="11"/>
        <v>120</v>
      </c>
      <c r="I49" s="115"/>
      <c r="J49" s="117">
        <v>3</v>
      </c>
      <c r="K49" s="115">
        <v>160</v>
      </c>
      <c r="L49" s="115">
        <v>7</v>
      </c>
      <c r="M49" s="115"/>
      <c r="N49" s="115"/>
      <c r="O49" s="115"/>
      <c r="P49" s="124">
        <f t="shared" si="12"/>
        <v>7</v>
      </c>
      <c r="Q49" s="117">
        <v>1</v>
      </c>
      <c r="R49" s="115" t="s">
        <v>154</v>
      </c>
      <c r="S49" s="142"/>
      <c r="T49" s="115"/>
      <c r="U49" s="118">
        <v>0.2</v>
      </c>
      <c r="V49" s="118">
        <v>0.35</v>
      </c>
      <c r="W49" s="118">
        <v>0.99</v>
      </c>
      <c r="X49" s="115"/>
      <c r="Y49" s="119">
        <v>5.3</v>
      </c>
      <c r="Z49" s="125">
        <f t="shared" si="20"/>
        <v>7</v>
      </c>
      <c r="AA49" s="126">
        <f t="shared" si="13"/>
        <v>0</v>
      </c>
      <c r="AB49" s="127">
        <f t="shared" si="14"/>
        <v>5.8333333333333334E-2</v>
      </c>
      <c r="AC49" s="126">
        <f t="shared" si="15"/>
        <v>0</v>
      </c>
      <c r="AD49" s="126">
        <f t="shared" si="16"/>
        <v>1.3333333333333333</v>
      </c>
      <c r="AE49" s="126">
        <f t="shared" si="17"/>
        <v>0</v>
      </c>
      <c r="AF49" s="126">
        <f t="shared" si="18"/>
        <v>1.6666666666666667</v>
      </c>
      <c r="AG49" s="128">
        <f t="shared" si="19"/>
        <v>2.0512820512820511</v>
      </c>
    </row>
    <row r="50" spans="1:34" ht="15.75" customHeight="1" x14ac:dyDescent="0.35">
      <c r="A50" s="61" t="s">
        <v>45</v>
      </c>
      <c r="B50" s="48" t="s">
        <v>50</v>
      </c>
      <c r="C50" s="62" t="s">
        <v>155</v>
      </c>
      <c r="D50" s="115"/>
      <c r="E50" s="115"/>
      <c r="F50" s="115"/>
      <c r="G50" s="115"/>
      <c r="H50" s="124">
        <f t="shared" si="11"/>
        <v>0</v>
      </c>
      <c r="I50" s="115">
        <v>2</v>
      </c>
      <c r="J50" s="117"/>
      <c r="K50" s="115">
        <v>15</v>
      </c>
      <c r="L50" s="115">
        <v>4</v>
      </c>
      <c r="M50" s="115"/>
      <c r="N50" s="115"/>
      <c r="O50" s="115"/>
      <c r="P50" s="124">
        <f t="shared" si="12"/>
        <v>4</v>
      </c>
      <c r="Q50" s="117">
        <v>1.1000000000000001</v>
      </c>
      <c r="R50" s="115" t="s">
        <v>150</v>
      </c>
      <c r="S50" s="142"/>
      <c r="T50" s="115"/>
      <c r="U50" s="118">
        <v>0.35</v>
      </c>
      <c r="V50" s="118">
        <v>0</v>
      </c>
      <c r="W50" s="118">
        <v>0.99</v>
      </c>
      <c r="X50" s="115"/>
      <c r="Y50" s="119">
        <v>4</v>
      </c>
      <c r="Z50" s="125">
        <f t="shared" si="20"/>
        <v>3.6363636363636362</v>
      </c>
      <c r="AA50" s="126">
        <f t="shared" si="13"/>
        <v>0</v>
      </c>
      <c r="AB50" s="127">
        <f t="shared" si="14"/>
        <v>0</v>
      </c>
      <c r="AC50" s="126">
        <f t="shared" si="15"/>
        <v>1.8181818181818181</v>
      </c>
      <c r="AD50" s="126">
        <f t="shared" si="16"/>
        <v>0</v>
      </c>
      <c r="AE50" s="126">
        <f t="shared" si="17"/>
        <v>7.5</v>
      </c>
      <c r="AF50" s="126">
        <f t="shared" si="18"/>
        <v>0</v>
      </c>
      <c r="AG50" s="128">
        <f t="shared" si="19"/>
        <v>0</v>
      </c>
    </row>
    <row r="51" spans="1:34" ht="15.75" customHeight="1" x14ac:dyDescent="0.35">
      <c r="A51" s="61" t="s">
        <v>99</v>
      </c>
      <c r="B51" s="48" t="s">
        <v>50</v>
      </c>
      <c r="C51" s="62" t="s">
        <v>156</v>
      </c>
      <c r="D51" s="115"/>
      <c r="E51" s="115">
        <v>200</v>
      </c>
      <c r="F51" s="115">
        <v>200</v>
      </c>
      <c r="G51" s="115"/>
      <c r="H51" s="124">
        <f t="shared" si="11"/>
        <v>400</v>
      </c>
      <c r="I51" s="115">
        <v>5</v>
      </c>
      <c r="J51" s="117">
        <v>27</v>
      </c>
      <c r="K51" s="115">
        <v>115</v>
      </c>
      <c r="L51" s="115"/>
      <c r="M51" s="115">
        <v>40</v>
      </c>
      <c r="N51" s="115"/>
      <c r="O51" s="115">
        <v>200</v>
      </c>
      <c r="P51" s="124">
        <f t="shared" si="12"/>
        <v>40</v>
      </c>
      <c r="Q51" s="117">
        <v>4</v>
      </c>
      <c r="R51" s="115" t="s">
        <v>157</v>
      </c>
      <c r="S51" s="142"/>
      <c r="T51" s="115"/>
      <c r="U51" s="118">
        <v>0.3</v>
      </c>
      <c r="V51" s="118">
        <v>0.9</v>
      </c>
      <c r="W51" s="118">
        <v>0.5</v>
      </c>
      <c r="X51" s="115"/>
      <c r="Y51" s="119">
        <v>2.4</v>
      </c>
      <c r="Z51" s="125">
        <f t="shared" si="20"/>
        <v>10</v>
      </c>
      <c r="AA51" s="126">
        <f t="shared" si="13"/>
        <v>50</v>
      </c>
      <c r="AB51" s="127">
        <f t="shared" si="14"/>
        <v>2.5000000000000001E-2</v>
      </c>
      <c r="AC51" s="126">
        <f t="shared" si="15"/>
        <v>2</v>
      </c>
      <c r="AD51" s="126">
        <f t="shared" si="16"/>
        <v>0.28749999999999998</v>
      </c>
      <c r="AE51" s="126">
        <f t="shared" si="17"/>
        <v>23</v>
      </c>
      <c r="AF51" s="126">
        <f t="shared" si="18"/>
        <v>0.41071428571428575</v>
      </c>
      <c r="AG51" s="128">
        <f t="shared" si="19"/>
        <v>2.8750000000000004</v>
      </c>
    </row>
    <row r="52" spans="1:34" ht="15.75" customHeight="1" x14ac:dyDescent="0.35">
      <c r="A52" s="61" t="s">
        <v>53</v>
      </c>
      <c r="B52" s="48" t="s">
        <v>77</v>
      </c>
      <c r="C52" s="62" t="s">
        <v>158</v>
      </c>
      <c r="D52" s="115">
        <v>70</v>
      </c>
      <c r="E52" s="115"/>
      <c r="F52" s="115">
        <v>50</v>
      </c>
      <c r="G52" s="115"/>
      <c r="H52" s="124">
        <f t="shared" si="11"/>
        <v>120</v>
      </c>
      <c r="I52" s="115">
        <v>3</v>
      </c>
      <c r="J52" s="117">
        <v>14</v>
      </c>
      <c r="K52" s="115">
        <v>130</v>
      </c>
      <c r="L52" s="115"/>
      <c r="M52" s="115"/>
      <c r="N52" s="115">
        <v>9</v>
      </c>
      <c r="O52" s="115"/>
      <c r="P52" s="124">
        <f t="shared" si="12"/>
        <v>9</v>
      </c>
      <c r="Q52" s="117">
        <v>1.4</v>
      </c>
      <c r="R52" s="115" t="s">
        <v>159</v>
      </c>
      <c r="S52" s="142"/>
      <c r="T52" s="115"/>
      <c r="U52" s="118">
        <v>0.4</v>
      </c>
      <c r="V52" s="118">
        <v>0.2</v>
      </c>
      <c r="W52" s="118">
        <v>0.99</v>
      </c>
      <c r="X52" s="115"/>
      <c r="Y52" s="119">
        <v>4.3</v>
      </c>
      <c r="Z52" s="125">
        <f t="shared" si="20"/>
        <v>6.4285714285714288</v>
      </c>
      <c r="AA52" s="126">
        <f t="shared" si="13"/>
        <v>0</v>
      </c>
      <c r="AB52" s="127">
        <f t="shared" si="14"/>
        <v>5.3571428571428575E-2</v>
      </c>
      <c r="AC52" s="126">
        <f t="shared" si="15"/>
        <v>2.1428571428571428</v>
      </c>
      <c r="AD52" s="126">
        <f t="shared" si="16"/>
        <v>1.0833333333333333</v>
      </c>
      <c r="AE52" s="126">
        <f t="shared" si="17"/>
        <v>43.333333333333336</v>
      </c>
      <c r="AF52" s="126">
        <f t="shared" si="18"/>
        <v>1.8055555555555558</v>
      </c>
      <c r="AG52" s="128">
        <f t="shared" si="19"/>
        <v>1.3541666666666667</v>
      </c>
    </row>
    <row r="53" spans="1:34" ht="15.75" customHeight="1" x14ac:dyDescent="0.35">
      <c r="A53" s="61" t="s">
        <v>45</v>
      </c>
      <c r="B53" s="48" t="s">
        <v>50</v>
      </c>
      <c r="C53" s="62" t="s">
        <v>160</v>
      </c>
      <c r="D53" s="115"/>
      <c r="E53" s="115"/>
      <c r="F53" s="115"/>
      <c r="G53" s="115"/>
      <c r="H53" s="124">
        <f t="shared" si="11"/>
        <v>0</v>
      </c>
      <c r="I53" s="115">
        <v>1</v>
      </c>
      <c r="J53" s="117"/>
      <c r="K53" s="115">
        <v>4</v>
      </c>
      <c r="L53" s="115"/>
      <c r="M53" s="115"/>
      <c r="N53" s="115"/>
      <c r="O53" s="115"/>
      <c r="P53" s="124">
        <f t="shared" si="12"/>
        <v>0</v>
      </c>
      <c r="Q53" s="117">
        <v>1</v>
      </c>
      <c r="R53" s="115" t="s">
        <v>150</v>
      </c>
      <c r="S53" s="142"/>
      <c r="T53" s="115"/>
      <c r="U53" s="118">
        <v>0.1</v>
      </c>
      <c r="V53" s="118">
        <v>0</v>
      </c>
      <c r="W53" s="118">
        <v>0.99</v>
      </c>
      <c r="X53" s="115"/>
      <c r="Y53" s="119">
        <v>1.8</v>
      </c>
      <c r="Z53" s="125">
        <f t="shared" si="20"/>
        <v>0</v>
      </c>
      <c r="AA53" s="126">
        <f t="shared" si="13"/>
        <v>0</v>
      </c>
      <c r="AB53" s="127">
        <f t="shared" si="14"/>
        <v>0</v>
      </c>
      <c r="AC53" s="126">
        <f t="shared" si="15"/>
        <v>0</v>
      </c>
      <c r="AD53" s="126">
        <f t="shared" si="16"/>
        <v>0</v>
      </c>
      <c r="AE53" s="126">
        <f t="shared" si="17"/>
        <v>4</v>
      </c>
      <c r="AF53" s="126">
        <f t="shared" si="18"/>
        <v>0</v>
      </c>
      <c r="AG53" s="128">
        <f t="shared" si="19"/>
        <v>0</v>
      </c>
    </row>
    <row r="54" spans="1:34" ht="15.75" customHeight="1" x14ac:dyDescent="0.35">
      <c r="A54" s="61" t="s">
        <v>45</v>
      </c>
      <c r="B54" s="48" t="s">
        <v>50</v>
      </c>
      <c r="C54" s="62" t="s">
        <v>161</v>
      </c>
      <c r="D54" s="115"/>
      <c r="E54" s="115"/>
      <c r="F54" s="115"/>
      <c r="G54" s="115">
        <v>8</v>
      </c>
      <c r="H54" s="124">
        <f t="shared" si="11"/>
        <v>0</v>
      </c>
      <c r="I54" s="115">
        <v>1</v>
      </c>
      <c r="J54" s="117">
        <v>4</v>
      </c>
      <c r="K54" s="115">
        <v>70</v>
      </c>
      <c r="L54" s="115">
        <v>5</v>
      </c>
      <c r="M54" s="115"/>
      <c r="N54" s="115"/>
      <c r="O54" s="115"/>
      <c r="P54" s="124">
        <f t="shared" si="12"/>
        <v>5</v>
      </c>
      <c r="Q54" s="117">
        <v>1.3</v>
      </c>
      <c r="R54" s="115" t="s">
        <v>150</v>
      </c>
      <c r="S54" s="142"/>
      <c r="T54" s="115"/>
      <c r="U54" s="118">
        <v>0.1</v>
      </c>
      <c r="V54" s="118">
        <v>0.3</v>
      </c>
      <c r="W54" s="118">
        <v>0.99</v>
      </c>
      <c r="X54" s="115"/>
      <c r="Y54" s="119">
        <v>3.3</v>
      </c>
      <c r="Z54" s="125">
        <f t="shared" si="20"/>
        <v>3.8461538461538458</v>
      </c>
      <c r="AA54" s="126">
        <f t="shared" si="13"/>
        <v>0</v>
      </c>
      <c r="AB54" s="127">
        <f t="shared" si="14"/>
        <v>0</v>
      </c>
      <c r="AC54" s="126">
        <f t="shared" si="15"/>
        <v>3.8461538461538458</v>
      </c>
      <c r="AD54" s="126">
        <f t="shared" si="16"/>
        <v>0</v>
      </c>
      <c r="AE54" s="126">
        <f t="shared" si="17"/>
        <v>70</v>
      </c>
      <c r="AF54" s="126">
        <f t="shared" si="18"/>
        <v>0</v>
      </c>
      <c r="AG54" s="128">
        <f t="shared" si="19"/>
        <v>0</v>
      </c>
      <c r="AH54" s="73"/>
    </row>
    <row r="55" spans="1:34" ht="15.75" customHeight="1" x14ac:dyDescent="0.35">
      <c r="A55" s="61" t="s">
        <v>45</v>
      </c>
      <c r="B55" s="48" t="s">
        <v>50</v>
      </c>
      <c r="C55" s="62" t="s">
        <v>162</v>
      </c>
      <c r="D55" s="115"/>
      <c r="E55" s="115"/>
      <c r="F55" s="115"/>
      <c r="G55" s="115"/>
      <c r="H55" s="124">
        <f t="shared" si="11"/>
        <v>0</v>
      </c>
      <c r="I55" s="115">
        <v>1</v>
      </c>
      <c r="J55" s="117"/>
      <c r="K55" s="115">
        <v>10</v>
      </c>
      <c r="L55" s="115">
        <v>4</v>
      </c>
      <c r="M55" s="115"/>
      <c r="N55" s="115"/>
      <c r="O55" s="115"/>
      <c r="P55" s="124">
        <f t="shared" si="12"/>
        <v>4</v>
      </c>
      <c r="Q55" s="117">
        <v>1.6</v>
      </c>
      <c r="R55" s="115" t="s">
        <v>150</v>
      </c>
      <c r="S55" s="142"/>
      <c r="T55" s="115"/>
      <c r="U55" s="118">
        <v>0.35</v>
      </c>
      <c r="V55" s="118">
        <v>0.2</v>
      </c>
      <c r="W55" s="118">
        <v>0.99</v>
      </c>
      <c r="X55" s="115"/>
      <c r="Y55" s="119">
        <v>4</v>
      </c>
      <c r="Z55" s="125">
        <f t="shared" si="20"/>
        <v>2.5</v>
      </c>
      <c r="AA55" s="126">
        <f t="shared" si="13"/>
        <v>0</v>
      </c>
      <c r="AB55" s="127">
        <f t="shared" si="14"/>
        <v>0</v>
      </c>
      <c r="AC55" s="126">
        <f t="shared" si="15"/>
        <v>2.5</v>
      </c>
      <c r="AD55" s="126">
        <f t="shared" si="16"/>
        <v>0</v>
      </c>
      <c r="AE55" s="126">
        <f t="shared" si="17"/>
        <v>10</v>
      </c>
      <c r="AF55" s="126">
        <f t="shared" si="18"/>
        <v>0</v>
      </c>
      <c r="AG55" s="128">
        <f t="shared" si="19"/>
        <v>0</v>
      </c>
    </row>
    <row r="56" spans="1:34" ht="15.75" customHeight="1" x14ac:dyDescent="0.35">
      <c r="A56" s="61" t="s">
        <v>45</v>
      </c>
      <c r="B56" s="48" t="s">
        <v>50</v>
      </c>
      <c r="C56" s="62" t="s">
        <v>163</v>
      </c>
      <c r="D56" s="115"/>
      <c r="E56" s="115"/>
      <c r="F56" s="115"/>
      <c r="G56" s="115"/>
      <c r="H56" s="124">
        <f t="shared" si="11"/>
        <v>0</v>
      </c>
      <c r="I56" s="115">
        <v>1</v>
      </c>
      <c r="J56" s="117"/>
      <c r="K56" s="115">
        <v>15</v>
      </c>
      <c r="L56" s="115">
        <v>3</v>
      </c>
      <c r="M56" s="115"/>
      <c r="N56" s="115"/>
      <c r="O56" s="115"/>
      <c r="P56" s="124">
        <f t="shared" si="12"/>
        <v>3</v>
      </c>
      <c r="Q56" s="117">
        <v>1.1000000000000001</v>
      </c>
      <c r="R56" s="115" t="s">
        <v>150</v>
      </c>
      <c r="S56" s="142"/>
      <c r="T56" s="115"/>
      <c r="U56" s="118">
        <v>0.35</v>
      </c>
      <c r="V56" s="118">
        <v>0</v>
      </c>
      <c r="W56" s="118">
        <v>0.99</v>
      </c>
      <c r="X56" s="115"/>
      <c r="Y56" s="119">
        <v>4</v>
      </c>
      <c r="Z56" s="125">
        <f t="shared" si="20"/>
        <v>2.7272727272727271</v>
      </c>
      <c r="AA56" s="126">
        <f t="shared" si="13"/>
        <v>0</v>
      </c>
      <c r="AB56" s="127">
        <f t="shared" si="14"/>
        <v>0</v>
      </c>
      <c r="AC56" s="126">
        <f t="shared" si="15"/>
        <v>2.7272727272727271</v>
      </c>
      <c r="AD56" s="126">
        <f t="shared" si="16"/>
        <v>0</v>
      </c>
      <c r="AE56" s="126">
        <f t="shared" si="17"/>
        <v>15</v>
      </c>
      <c r="AF56" s="126">
        <f t="shared" si="18"/>
        <v>0</v>
      </c>
      <c r="AG56" s="128">
        <f t="shared" si="19"/>
        <v>0</v>
      </c>
    </row>
    <row r="57" spans="1:34" ht="15.75" customHeight="1" x14ac:dyDescent="0.35">
      <c r="A57" s="61" t="s">
        <v>45</v>
      </c>
      <c r="B57" s="48" t="s">
        <v>50</v>
      </c>
      <c r="C57" s="62" t="s">
        <v>164</v>
      </c>
      <c r="D57" s="115"/>
      <c r="E57" s="115"/>
      <c r="F57" s="115"/>
      <c r="G57" s="115">
        <v>18</v>
      </c>
      <c r="H57" s="124">
        <f t="shared" si="11"/>
        <v>0</v>
      </c>
      <c r="I57" s="115">
        <v>2</v>
      </c>
      <c r="J57" s="117">
        <v>8</v>
      </c>
      <c r="K57" s="115">
        <v>270</v>
      </c>
      <c r="L57" s="115">
        <v>9</v>
      </c>
      <c r="M57" s="115"/>
      <c r="N57" s="115"/>
      <c r="O57" s="115"/>
      <c r="P57" s="124">
        <f t="shared" si="12"/>
        <v>9</v>
      </c>
      <c r="Q57" s="117">
        <v>1.4</v>
      </c>
      <c r="R57" s="115" t="s">
        <v>150</v>
      </c>
      <c r="S57" s="142"/>
      <c r="T57" s="115"/>
      <c r="U57" s="118">
        <v>0.2</v>
      </c>
      <c r="V57" s="118">
        <v>0.4</v>
      </c>
      <c r="W57" s="118">
        <v>0.99</v>
      </c>
      <c r="X57" s="115"/>
      <c r="Y57" s="119">
        <v>3.3</v>
      </c>
      <c r="Z57" s="125">
        <f t="shared" si="20"/>
        <v>6.4285714285714288</v>
      </c>
      <c r="AA57" s="126">
        <f t="shared" si="13"/>
        <v>0</v>
      </c>
      <c r="AB57" s="127">
        <f t="shared" si="14"/>
        <v>0</v>
      </c>
      <c r="AC57" s="126">
        <f t="shared" si="15"/>
        <v>3.2142857142857144</v>
      </c>
      <c r="AD57" s="126">
        <f t="shared" si="16"/>
        <v>0</v>
      </c>
      <c r="AE57" s="126">
        <f t="shared" si="17"/>
        <v>135</v>
      </c>
      <c r="AF57" s="126">
        <f t="shared" si="18"/>
        <v>0</v>
      </c>
      <c r="AG57" s="128">
        <f t="shared" si="19"/>
        <v>0</v>
      </c>
    </row>
    <row r="58" spans="1:34" ht="15.75" customHeight="1" x14ac:dyDescent="0.35">
      <c r="A58" s="61" t="s">
        <v>45</v>
      </c>
      <c r="B58" s="48" t="s">
        <v>50</v>
      </c>
      <c r="C58" s="62" t="s">
        <v>165</v>
      </c>
      <c r="D58" s="115"/>
      <c r="E58" s="115"/>
      <c r="F58" s="115"/>
      <c r="G58" s="115"/>
      <c r="H58" s="124">
        <f t="shared" si="11"/>
        <v>0</v>
      </c>
      <c r="I58" s="115">
        <v>1</v>
      </c>
      <c r="J58" s="117"/>
      <c r="K58" s="115">
        <v>15</v>
      </c>
      <c r="L58" s="115">
        <v>4</v>
      </c>
      <c r="M58" s="115"/>
      <c r="N58" s="115"/>
      <c r="O58" s="115"/>
      <c r="P58" s="124">
        <f t="shared" si="12"/>
        <v>4</v>
      </c>
      <c r="Q58" s="117">
        <v>1.1000000000000001</v>
      </c>
      <c r="R58" s="115" t="s">
        <v>150</v>
      </c>
      <c r="S58" s="142"/>
      <c r="T58" s="115"/>
      <c r="U58" s="118">
        <v>0.35</v>
      </c>
      <c r="V58" s="118">
        <v>0</v>
      </c>
      <c r="W58" s="118">
        <v>0.99</v>
      </c>
      <c r="X58" s="115"/>
      <c r="Y58" s="119">
        <v>4</v>
      </c>
      <c r="Z58" s="125">
        <f t="shared" si="20"/>
        <v>3.6363636363636362</v>
      </c>
      <c r="AA58" s="126">
        <f t="shared" si="13"/>
        <v>0</v>
      </c>
      <c r="AB58" s="127">
        <f t="shared" si="14"/>
        <v>0</v>
      </c>
      <c r="AC58" s="126">
        <f t="shared" si="15"/>
        <v>3.6363636363636362</v>
      </c>
      <c r="AD58" s="126">
        <f t="shared" si="16"/>
        <v>0</v>
      </c>
      <c r="AE58" s="126">
        <f t="shared" si="17"/>
        <v>15</v>
      </c>
      <c r="AF58" s="126">
        <f t="shared" si="18"/>
        <v>0</v>
      </c>
      <c r="AG58" s="128">
        <f t="shared" si="19"/>
        <v>0</v>
      </c>
    </row>
    <row r="59" spans="1:34" ht="15.75" customHeight="1" x14ac:dyDescent="0.35">
      <c r="A59" s="61" t="s">
        <v>45</v>
      </c>
      <c r="B59" s="48" t="s">
        <v>50</v>
      </c>
      <c r="C59" s="62" t="s">
        <v>166</v>
      </c>
      <c r="D59" s="115"/>
      <c r="E59" s="115"/>
      <c r="F59" s="115"/>
      <c r="G59" s="115">
        <v>4</v>
      </c>
      <c r="H59" s="124">
        <f t="shared" si="11"/>
        <v>0</v>
      </c>
      <c r="I59" s="115">
        <v>1</v>
      </c>
      <c r="J59" s="117">
        <v>3</v>
      </c>
      <c r="K59" s="115">
        <v>15</v>
      </c>
      <c r="L59" s="115">
        <v>4</v>
      </c>
      <c r="M59" s="115"/>
      <c r="N59" s="115"/>
      <c r="O59" s="115"/>
      <c r="P59" s="124">
        <f t="shared" si="12"/>
        <v>4</v>
      </c>
      <c r="Q59" s="117">
        <v>1.1000000000000001</v>
      </c>
      <c r="R59" s="115" t="s">
        <v>150</v>
      </c>
      <c r="S59" s="142"/>
      <c r="T59" s="115"/>
      <c r="U59" s="118">
        <v>0.35</v>
      </c>
      <c r="V59" s="118">
        <v>0</v>
      </c>
      <c r="W59" s="118">
        <v>0.99</v>
      </c>
      <c r="X59" s="115"/>
      <c r="Y59" s="119">
        <v>4</v>
      </c>
      <c r="Z59" s="125">
        <f t="shared" si="20"/>
        <v>3.6363636363636362</v>
      </c>
      <c r="AA59" s="126">
        <f t="shared" si="13"/>
        <v>0</v>
      </c>
      <c r="AB59" s="127">
        <f t="shared" si="14"/>
        <v>0</v>
      </c>
      <c r="AC59" s="126">
        <f t="shared" si="15"/>
        <v>3.6363636363636362</v>
      </c>
      <c r="AD59" s="126">
        <f t="shared" si="16"/>
        <v>0</v>
      </c>
      <c r="AE59" s="126">
        <f t="shared" si="17"/>
        <v>15</v>
      </c>
      <c r="AF59" s="126">
        <f t="shared" si="18"/>
        <v>0</v>
      </c>
      <c r="AG59" s="128">
        <f t="shared" si="19"/>
        <v>0</v>
      </c>
      <c r="AH59" s="73"/>
    </row>
    <row r="60" spans="1:34" ht="15.75" customHeight="1" x14ac:dyDescent="0.35">
      <c r="A60" s="61" t="s">
        <v>45</v>
      </c>
      <c r="B60" s="48" t="s">
        <v>50</v>
      </c>
      <c r="C60" s="62" t="s">
        <v>167</v>
      </c>
      <c r="D60" s="115"/>
      <c r="E60" s="115"/>
      <c r="F60" s="115"/>
      <c r="G60" s="115">
        <v>7</v>
      </c>
      <c r="H60" s="124">
        <f t="shared" si="11"/>
        <v>0</v>
      </c>
      <c r="I60" s="115">
        <v>1</v>
      </c>
      <c r="J60" s="117">
        <v>4</v>
      </c>
      <c r="K60" s="115">
        <v>25</v>
      </c>
      <c r="L60" s="115">
        <v>5</v>
      </c>
      <c r="M60" s="115"/>
      <c r="N60" s="115"/>
      <c r="O60" s="115"/>
      <c r="P60" s="124">
        <f t="shared" si="12"/>
        <v>5</v>
      </c>
      <c r="Q60" s="117">
        <v>1.4</v>
      </c>
      <c r="R60" s="115" t="s">
        <v>150</v>
      </c>
      <c r="S60" s="142"/>
      <c r="T60" s="115"/>
      <c r="U60" s="118">
        <v>0.35</v>
      </c>
      <c r="V60" s="118">
        <v>0.05</v>
      </c>
      <c r="W60" s="118">
        <v>0.99</v>
      </c>
      <c r="X60" s="115"/>
      <c r="Y60" s="119">
        <v>4</v>
      </c>
      <c r="Z60" s="125">
        <f t="shared" si="20"/>
        <v>3.5714285714285716</v>
      </c>
      <c r="AA60" s="126">
        <f t="shared" si="13"/>
        <v>0</v>
      </c>
      <c r="AB60" s="127">
        <f t="shared" si="14"/>
        <v>0</v>
      </c>
      <c r="AC60" s="126">
        <f t="shared" si="15"/>
        <v>3.5714285714285716</v>
      </c>
      <c r="AD60" s="126">
        <f t="shared" si="16"/>
        <v>0</v>
      </c>
      <c r="AE60" s="126">
        <f t="shared" si="17"/>
        <v>25</v>
      </c>
      <c r="AF60" s="126">
        <f t="shared" si="18"/>
        <v>0</v>
      </c>
      <c r="AG60" s="128">
        <f t="shared" si="19"/>
        <v>0</v>
      </c>
    </row>
    <row r="61" spans="1:34" ht="15.75" customHeight="1" x14ac:dyDescent="0.35">
      <c r="A61" s="61" t="s">
        <v>80</v>
      </c>
      <c r="B61" s="48" t="s">
        <v>50</v>
      </c>
      <c r="C61" s="62" t="s">
        <v>168</v>
      </c>
      <c r="D61" s="115"/>
      <c r="E61" s="115"/>
      <c r="F61" s="115"/>
      <c r="G61" s="115">
        <v>10</v>
      </c>
      <c r="H61" s="124">
        <f t="shared" si="11"/>
        <v>0</v>
      </c>
      <c r="I61" s="115">
        <v>1</v>
      </c>
      <c r="J61" s="117">
        <v>6</v>
      </c>
      <c r="K61" s="115">
        <v>100</v>
      </c>
      <c r="L61" s="115">
        <v>6</v>
      </c>
      <c r="M61" s="115"/>
      <c r="N61" s="115"/>
      <c r="O61" s="115"/>
      <c r="P61" s="124">
        <f t="shared" si="12"/>
        <v>6</v>
      </c>
      <c r="Q61" s="117">
        <v>1</v>
      </c>
      <c r="R61" s="115" t="s">
        <v>150</v>
      </c>
      <c r="S61" s="142"/>
      <c r="T61" s="115"/>
      <c r="U61" s="118">
        <v>0.1</v>
      </c>
      <c r="V61" s="118">
        <v>0.2</v>
      </c>
      <c r="W61" s="118">
        <v>0.99</v>
      </c>
      <c r="X61" s="115"/>
      <c r="Y61" s="119">
        <v>4</v>
      </c>
      <c r="Z61" s="125">
        <f t="shared" si="20"/>
        <v>6</v>
      </c>
      <c r="AA61" s="126">
        <f t="shared" si="13"/>
        <v>0</v>
      </c>
      <c r="AB61" s="127">
        <f t="shared" si="14"/>
        <v>0</v>
      </c>
      <c r="AC61" s="126">
        <f t="shared" si="15"/>
        <v>6</v>
      </c>
      <c r="AD61" s="126">
        <f t="shared" si="16"/>
        <v>0</v>
      </c>
      <c r="AE61" s="126">
        <f t="shared" si="17"/>
        <v>100</v>
      </c>
      <c r="AF61" s="126">
        <f t="shared" si="18"/>
        <v>0</v>
      </c>
      <c r="AG61" s="128">
        <f t="shared" si="19"/>
        <v>0</v>
      </c>
    </row>
    <row r="62" spans="1:34" ht="15.75" customHeight="1" x14ac:dyDescent="0.35">
      <c r="A62" s="61" t="s">
        <v>80</v>
      </c>
      <c r="B62" s="48" t="s">
        <v>50</v>
      </c>
      <c r="C62" s="62" t="s">
        <v>169</v>
      </c>
      <c r="D62" s="115"/>
      <c r="E62" s="115"/>
      <c r="F62" s="115"/>
      <c r="G62" s="115">
        <v>5</v>
      </c>
      <c r="H62" s="124">
        <f t="shared" si="11"/>
        <v>0</v>
      </c>
      <c r="I62" s="115">
        <v>1</v>
      </c>
      <c r="J62" s="117">
        <v>4</v>
      </c>
      <c r="K62" s="115">
        <v>45</v>
      </c>
      <c r="L62" s="115">
        <v>7</v>
      </c>
      <c r="M62" s="115"/>
      <c r="N62" s="115"/>
      <c r="O62" s="115"/>
      <c r="P62" s="124">
        <f t="shared" si="12"/>
        <v>7</v>
      </c>
      <c r="Q62" s="117">
        <v>1.8</v>
      </c>
      <c r="R62" s="115" t="s">
        <v>150</v>
      </c>
      <c r="S62" s="142"/>
      <c r="T62" s="115"/>
      <c r="U62" s="118">
        <v>0.2</v>
      </c>
      <c r="V62" s="118">
        <v>0.3</v>
      </c>
      <c r="W62" s="118">
        <v>0.99</v>
      </c>
      <c r="X62" s="115"/>
      <c r="Y62" s="119">
        <v>4</v>
      </c>
      <c r="Z62" s="125">
        <f t="shared" si="20"/>
        <v>3.8888888888888888</v>
      </c>
      <c r="AA62" s="126">
        <f t="shared" si="13"/>
        <v>0</v>
      </c>
      <c r="AB62" s="127">
        <f t="shared" si="14"/>
        <v>0</v>
      </c>
      <c r="AC62" s="126">
        <f t="shared" si="15"/>
        <v>3.8888888888888888</v>
      </c>
      <c r="AD62" s="126">
        <f t="shared" si="16"/>
        <v>0</v>
      </c>
      <c r="AE62" s="126">
        <f t="shared" si="17"/>
        <v>45</v>
      </c>
      <c r="AF62" s="126">
        <f t="shared" si="18"/>
        <v>0</v>
      </c>
      <c r="AG62" s="128">
        <f t="shared" si="19"/>
        <v>0</v>
      </c>
    </row>
    <row r="63" spans="1:34" ht="15.75" customHeight="1" x14ac:dyDescent="0.35">
      <c r="A63" s="61" t="s">
        <v>66</v>
      </c>
      <c r="B63" s="48" t="s">
        <v>50</v>
      </c>
      <c r="C63" s="62" t="s">
        <v>170</v>
      </c>
      <c r="D63" s="115"/>
      <c r="E63" s="115">
        <v>90</v>
      </c>
      <c r="F63" s="115">
        <v>45</v>
      </c>
      <c r="G63" s="115"/>
      <c r="H63" s="124">
        <f t="shared" si="11"/>
        <v>135</v>
      </c>
      <c r="I63" s="115">
        <v>3</v>
      </c>
      <c r="J63" s="117">
        <v>17</v>
      </c>
      <c r="K63" s="115">
        <v>290</v>
      </c>
      <c r="L63" s="115"/>
      <c r="M63" s="115">
        <f>8*3</f>
        <v>24</v>
      </c>
      <c r="N63" s="115"/>
      <c r="O63" s="115"/>
      <c r="P63" s="124">
        <f t="shared" si="12"/>
        <v>24</v>
      </c>
      <c r="Q63" s="117">
        <v>1.5</v>
      </c>
      <c r="R63" s="115"/>
      <c r="S63" s="142"/>
      <c r="T63" s="115"/>
      <c r="U63" s="118">
        <v>0.5</v>
      </c>
      <c r="V63" s="118">
        <v>0.3</v>
      </c>
      <c r="W63" s="118">
        <v>0.99</v>
      </c>
      <c r="X63" s="115">
        <v>15</v>
      </c>
      <c r="Y63" s="119">
        <v>5.5</v>
      </c>
      <c r="Z63" s="125">
        <f t="shared" si="20"/>
        <v>16</v>
      </c>
      <c r="AA63" s="126">
        <f t="shared" si="13"/>
        <v>0</v>
      </c>
      <c r="AB63" s="127">
        <f t="shared" si="14"/>
        <v>0.11851851851851852</v>
      </c>
      <c r="AC63" s="126">
        <f t="shared" si="15"/>
        <v>5.333333333333333</v>
      </c>
      <c r="AD63" s="126">
        <f t="shared" si="16"/>
        <v>2.1481481481481484</v>
      </c>
      <c r="AE63" s="126">
        <f t="shared" si="17"/>
        <v>96.666666666666671</v>
      </c>
      <c r="AF63" s="126">
        <f t="shared" si="18"/>
        <v>4.2962962962962967</v>
      </c>
      <c r="AG63" s="128">
        <f t="shared" si="19"/>
        <v>3.0687830687830693</v>
      </c>
    </row>
    <row r="64" spans="1:34" ht="15.75" customHeight="1" x14ac:dyDescent="0.35">
      <c r="A64" s="61" t="s">
        <v>56</v>
      </c>
      <c r="B64" s="48" t="s">
        <v>50</v>
      </c>
      <c r="C64" s="62" t="s">
        <v>171</v>
      </c>
      <c r="D64" s="115"/>
      <c r="E64" s="115"/>
      <c r="F64" s="115">
        <v>200</v>
      </c>
      <c r="G64" s="115">
        <v>15</v>
      </c>
      <c r="H64" s="124">
        <f t="shared" si="11"/>
        <v>200</v>
      </c>
      <c r="I64" s="115">
        <v>3</v>
      </c>
      <c r="J64" s="117">
        <v>10</v>
      </c>
      <c r="K64" s="115">
        <v>1020</v>
      </c>
      <c r="L64" s="115">
        <v>38</v>
      </c>
      <c r="M64" s="115"/>
      <c r="N64" s="115"/>
      <c r="O64" s="115"/>
      <c r="P64" s="124">
        <f t="shared" si="12"/>
        <v>38</v>
      </c>
      <c r="Q64" s="117">
        <v>1.5</v>
      </c>
      <c r="R64" s="115" t="s">
        <v>65</v>
      </c>
      <c r="S64" s="142" t="s">
        <v>119</v>
      </c>
      <c r="T64" s="115"/>
      <c r="U64" s="118">
        <v>0.4</v>
      </c>
      <c r="V64" s="118">
        <v>0.6</v>
      </c>
      <c r="W64" s="118">
        <v>0.8</v>
      </c>
      <c r="X64" s="115"/>
      <c r="Y64" s="119">
        <v>4.2</v>
      </c>
      <c r="Z64" s="125">
        <f t="shared" si="20"/>
        <v>25.333333333333332</v>
      </c>
      <c r="AA64" s="126">
        <f t="shared" si="13"/>
        <v>0</v>
      </c>
      <c r="AB64" s="127">
        <f t="shared" si="14"/>
        <v>0.12666666666666665</v>
      </c>
      <c r="AC64" s="126">
        <f t="shared" si="15"/>
        <v>8.4444444444444446</v>
      </c>
      <c r="AD64" s="126">
        <f t="shared" si="16"/>
        <v>5.0999999999999996</v>
      </c>
      <c r="AE64" s="126">
        <f t="shared" si="17"/>
        <v>340</v>
      </c>
      <c r="AF64" s="126">
        <f t="shared" si="18"/>
        <v>8.5</v>
      </c>
      <c r="AG64" s="128">
        <f t="shared" si="19"/>
        <v>12.75</v>
      </c>
    </row>
    <row r="65" spans="1:33" ht="15.75" customHeight="1" x14ac:dyDescent="0.35">
      <c r="A65" s="61" t="s">
        <v>80</v>
      </c>
      <c r="B65" s="48" t="s">
        <v>50</v>
      </c>
      <c r="C65" s="62" t="s">
        <v>172</v>
      </c>
      <c r="D65" s="115"/>
      <c r="E65" s="115"/>
      <c r="F65" s="115"/>
      <c r="G65" s="115"/>
      <c r="H65" s="124">
        <f t="shared" si="11"/>
        <v>0</v>
      </c>
      <c r="I65" s="115">
        <v>1</v>
      </c>
      <c r="J65" s="117"/>
      <c r="K65" s="115">
        <v>45</v>
      </c>
      <c r="L65" s="115">
        <v>9</v>
      </c>
      <c r="M65" s="115"/>
      <c r="N65" s="115"/>
      <c r="O65" s="115"/>
      <c r="P65" s="124">
        <f t="shared" si="12"/>
        <v>9</v>
      </c>
      <c r="Q65" s="117">
        <v>2.2000000000000002</v>
      </c>
      <c r="R65" s="115" t="s">
        <v>150</v>
      </c>
      <c r="S65" s="142"/>
      <c r="T65" s="115"/>
      <c r="U65" s="118">
        <v>0.2</v>
      </c>
      <c r="V65" s="118">
        <v>0.3</v>
      </c>
      <c r="W65" s="118">
        <v>0.99</v>
      </c>
      <c r="X65" s="115"/>
      <c r="Y65" s="119">
        <v>5</v>
      </c>
      <c r="Z65" s="125">
        <f t="shared" si="20"/>
        <v>4.0909090909090908</v>
      </c>
      <c r="AA65" s="126">
        <f t="shared" si="13"/>
        <v>0</v>
      </c>
      <c r="AB65" s="127">
        <f t="shared" si="14"/>
        <v>0</v>
      </c>
      <c r="AC65" s="126">
        <f t="shared" si="15"/>
        <v>4.0909090909090908</v>
      </c>
      <c r="AD65" s="126">
        <f t="shared" si="16"/>
        <v>0</v>
      </c>
      <c r="AE65" s="126">
        <f t="shared" si="17"/>
        <v>45</v>
      </c>
      <c r="AF65" s="126">
        <f t="shared" si="18"/>
        <v>0</v>
      </c>
      <c r="AG65" s="128">
        <f t="shared" si="19"/>
        <v>0</v>
      </c>
    </row>
    <row r="66" spans="1:33" ht="15.75" customHeight="1" x14ac:dyDescent="0.35">
      <c r="A66" s="61" t="s">
        <v>56</v>
      </c>
      <c r="B66" s="48" t="s">
        <v>50</v>
      </c>
      <c r="C66" s="62" t="s">
        <v>173</v>
      </c>
      <c r="D66" s="115"/>
      <c r="E66" s="115"/>
      <c r="F66" s="115"/>
      <c r="G66" s="115"/>
      <c r="H66" s="124">
        <f t="shared" ref="H66:H97" si="21">SUM(D66:F66)</f>
        <v>0</v>
      </c>
      <c r="I66" s="115"/>
      <c r="J66" s="117"/>
      <c r="K66" s="115">
        <v>200</v>
      </c>
      <c r="L66" s="115"/>
      <c r="M66" s="115">
        <f>8*3</f>
        <v>24</v>
      </c>
      <c r="N66" s="115"/>
      <c r="O66" s="115"/>
      <c r="P66" s="124">
        <f t="shared" ref="P66:P97" si="22">SUBTOTAL(9,L66:N66)</f>
        <v>24</v>
      </c>
      <c r="Q66" s="117">
        <v>1.5</v>
      </c>
      <c r="R66" s="115"/>
      <c r="S66" s="142"/>
      <c r="T66" s="115"/>
      <c r="U66" s="118">
        <v>0.25</v>
      </c>
      <c r="V66" s="118">
        <v>0.15</v>
      </c>
      <c r="W66" s="118">
        <v>0.05</v>
      </c>
      <c r="X66" s="115">
        <v>12</v>
      </c>
      <c r="Y66" s="119">
        <v>6</v>
      </c>
      <c r="Z66" s="125">
        <f t="shared" si="20"/>
        <v>16</v>
      </c>
      <c r="AA66" s="126">
        <f t="shared" ref="AA66:AA97" si="23">IFERROR(O66/Q66,0)</f>
        <v>0</v>
      </c>
      <c r="AB66" s="127">
        <f t="shared" ref="AB66:AB97" si="24">IFERROR(Z66/H66,0)</f>
        <v>0</v>
      </c>
      <c r="AC66" s="126">
        <f t="shared" ref="AC66:AC97" si="25">IFERROR(Z66/I66,0)</f>
        <v>0</v>
      </c>
      <c r="AD66" s="126">
        <f t="shared" ref="AD66:AD97" si="26">IFERROR(K66/H66,0)</f>
        <v>0</v>
      </c>
      <c r="AE66" s="126">
        <f t="shared" ref="AE66:AE97" si="27">IFERROR(K66/I66,0)</f>
        <v>0</v>
      </c>
      <c r="AF66" s="126">
        <f t="shared" ref="AF66:AF97" si="28">IFERROR((K66/(1-U66))/H66,0)</f>
        <v>0</v>
      </c>
      <c r="AG66" s="128">
        <f t="shared" ref="AG66:AG97" si="29">IFERROR((K66/(1-V66))/H66,0)</f>
        <v>0</v>
      </c>
    </row>
    <row r="67" spans="1:33" ht="15.75" customHeight="1" x14ac:dyDescent="0.35">
      <c r="A67" s="61" t="s">
        <v>53</v>
      </c>
      <c r="B67" s="48" t="s">
        <v>50</v>
      </c>
      <c r="C67" s="62" t="s">
        <v>174</v>
      </c>
      <c r="D67" s="115">
        <v>40</v>
      </c>
      <c r="E67" s="115"/>
      <c r="F67" s="115">
        <v>30</v>
      </c>
      <c r="G67" s="115"/>
      <c r="H67" s="124">
        <f t="shared" si="21"/>
        <v>70</v>
      </c>
      <c r="I67" s="115">
        <v>2</v>
      </c>
      <c r="J67" s="117">
        <v>12</v>
      </c>
      <c r="K67" s="115">
        <v>70</v>
      </c>
      <c r="L67" s="115">
        <v>5</v>
      </c>
      <c r="M67" s="115"/>
      <c r="N67" s="115"/>
      <c r="O67" s="115"/>
      <c r="P67" s="124">
        <f t="shared" si="22"/>
        <v>5</v>
      </c>
      <c r="Q67" s="117">
        <v>1</v>
      </c>
      <c r="R67" s="115" t="s">
        <v>148</v>
      </c>
      <c r="S67" s="142"/>
      <c r="T67" s="115"/>
      <c r="U67" s="118">
        <v>0.4</v>
      </c>
      <c r="V67" s="118">
        <v>0.05</v>
      </c>
      <c r="W67" s="118">
        <v>0.99</v>
      </c>
      <c r="X67" s="115"/>
      <c r="Y67" s="119">
        <v>4.3</v>
      </c>
      <c r="Z67" s="125">
        <f t="shared" si="20"/>
        <v>5</v>
      </c>
      <c r="AA67" s="126">
        <f t="shared" si="23"/>
        <v>0</v>
      </c>
      <c r="AB67" s="127">
        <f t="shared" si="24"/>
        <v>7.1428571428571425E-2</v>
      </c>
      <c r="AC67" s="126">
        <f t="shared" si="25"/>
        <v>2.5</v>
      </c>
      <c r="AD67" s="126">
        <f t="shared" si="26"/>
        <v>1</v>
      </c>
      <c r="AE67" s="126">
        <f t="shared" si="27"/>
        <v>35</v>
      </c>
      <c r="AF67" s="126">
        <f t="shared" si="28"/>
        <v>1.6666666666666667</v>
      </c>
      <c r="AG67" s="128">
        <f t="shared" si="29"/>
        <v>1.0526315789473686</v>
      </c>
    </row>
    <row r="68" spans="1:33" ht="15.75" customHeight="1" x14ac:dyDescent="0.35">
      <c r="A68" s="61" t="s">
        <v>49</v>
      </c>
      <c r="B68" s="48" t="s">
        <v>54</v>
      </c>
      <c r="C68" s="62" t="s">
        <v>175</v>
      </c>
      <c r="D68" s="115">
        <v>60</v>
      </c>
      <c r="E68" s="115"/>
      <c r="F68" s="115">
        <v>40</v>
      </c>
      <c r="G68" s="115"/>
      <c r="H68" s="124">
        <f t="shared" si="21"/>
        <v>100</v>
      </c>
      <c r="I68" s="115">
        <v>3</v>
      </c>
      <c r="J68" s="117">
        <v>17</v>
      </c>
      <c r="K68" s="115">
        <v>140</v>
      </c>
      <c r="L68" s="115">
        <v>13.5</v>
      </c>
      <c r="M68" s="115"/>
      <c r="N68" s="115"/>
      <c r="O68" s="115"/>
      <c r="P68" s="124">
        <f t="shared" si="22"/>
        <v>13.5</v>
      </c>
      <c r="Q68" s="117">
        <v>1.5</v>
      </c>
      <c r="R68" s="115" t="s">
        <v>176</v>
      </c>
      <c r="S68" s="142"/>
      <c r="T68" s="115"/>
      <c r="U68" s="118">
        <v>0.15</v>
      </c>
      <c r="V68" s="118">
        <v>0.4</v>
      </c>
      <c r="W68" s="118">
        <v>0.99</v>
      </c>
      <c r="X68" s="115">
        <v>1</v>
      </c>
      <c r="Y68" s="119">
        <v>5.8</v>
      </c>
      <c r="Z68" s="125">
        <f t="shared" si="20"/>
        <v>9</v>
      </c>
      <c r="AA68" s="126">
        <f t="shared" si="23"/>
        <v>0</v>
      </c>
      <c r="AB68" s="127">
        <f t="shared" si="24"/>
        <v>0.09</v>
      </c>
      <c r="AC68" s="126">
        <f t="shared" si="25"/>
        <v>3</v>
      </c>
      <c r="AD68" s="126">
        <f t="shared" si="26"/>
        <v>1.4</v>
      </c>
      <c r="AE68" s="126">
        <f t="shared" si="27"/>
        <v>46.666666666666664</v>
      </c>
      <c r="AF68" s="126">
        <f t="shared" si="28"/>
        <v>1.6470588235294119</v>
      </c>
      <c r="AG68" s="128">
        <f t="shared" si="29"/>
        <v>2.3333333333333335</v>
      </c>
    </row>
    <row r="69" spans="1:33" ht="15.75" customHeight="1" x14ac:dyDescent="0.35">
      <c r="A69" s="61" t="s">
        <v>56</v>
      </c>
      <c r="B69" s="48" t="s">
        <v>50</v>
      </c>
      <c r="C69" s="62" t="s">
        <v>177</v>
      </c>
      <c r="D69" s="115"/>
      <c r="E69" s="115"/>
      <c r="F69" s="115">
        <v>50</v>
      </c>
      <c r="G69" s="115">
        <v>10</v>
      </c>
      <c r="H69" s="124">
        <f t="shared" si="21"/>
        <v>50</v>
      </c>
      <c r="I69" s="115"/>
      <c r="J69" s="117"/>
      <c r="K69" s="115">
        <v>140</v>
      </c>
      <c r="L69" s="115">
        <v>8</v>
      </c>
      <c r="M69" s="115"/>
      <c r="N69" s="115"/>
      <c r="O69" s="115"/>
      <c r="P69" s="124">
        <f t="shared" si="22"/>
        <v>8</v>
      </c>
      <c r="Q69" s="117">
        <v>0.9</v>
      </c>
      <c r="R69" s="115"/>
      <c r="S69" s="142"/>
      <c r="T69" s="115"/>
      <c r="U69" s="118">
        <v>0.35</v>
      </c>
      <c r="V69" s="118">
        <v>0.4</v>
      </c>
      <c r="W69" s="118">
        <v>0.8</v>
      </c>
      <c r="X69" s="115"/>
      <c r="Y69" s="119">
        <v>5</v>
      </c>
      <c r="Z69" s="125">
        <f t="shared" si="20"/>
        <v>8.8888888888888893</v>
      </c>
      <c r="AA69" s="126">
        <f t="shared" si="23"/>
        <v>0</v>
      </c>
      <c r="AB69" s="127">
        <f t="shared" si="24"/>
        <v>0.17777777777777778</v>
      </c>
      <c r="AC69" s="126">
        <f t="shared" si="25"/>
        <v>0</v>
      </c>
      <c r="AD69" s="126">
        <f t="shared" si="26"/>
        <v>2.8</v>
      </c>
      <c r="AE69" s="126">
        <f t="shared" si="27"/>
        <v>0</v>
      </c>
      <c r="AF69" s="126">
        <f t="shared" si="28"/>
        <v>4.3076923076923075</v>
      </c>
      <c r="AG69" s="128">
        <f t="shared" si="29"/>
        <v>4.666666666666667</v>
      </c>
    </row>
    <row r="70" spans="1:33" ht="15.75" customHeight="1" x14ac:dyDescent="0.35">
      <c r="A70" s="61" t="s">
        <v>45</v>
      </c>
      <c r="B70" s="48" t="s">
        <v>50</v>
      </c>
      <c r="C70" s="62" t="s">
        <v>178</v>
      </c>
      <c r="D70" s="115"/>
      <c r="E70" s="115"/>
      <c r="F70" s="115"/>
      <c r="G70" s="115"/>
      <c r="H70" s="124">
        <f t="shared" si="21"/>
        <v>0</v>
      </c>
      <c r="I70" s="115">
        <v>1</v>
      </c>
      <c r="J70" s="117"/>
      <c r="K70" s="115">
        <v>29</v>
      </c>
      <c r="L70" s="115">
        <v>3</v>
      </c>
      <c r="M70" s="115"/>
      <c r="N70" s="115"/>
      <c r="O70" s="115"/>
      <c r="P70" s="124">
        <f t="shared" si="22"/>
        <v>3</v>
      </c>
      <c r="Q70" s="117">
        <v>1</v>
      </c>
      <c r="R70" s="115" t="s">
        <v>150</v>
      </c>
      <c r="S70" s="142"/>
      <c r="T70" s="115"/>
      <c r="U70" s="118">
        <v>0.35</v>
      </c>
      <c r="V70" s="118">
        <v>0.05</v>
      </c>
      <c r="W70" s="118">
        <v>0.99</v>
      </c>
      <c r="X70" s="115"/>
      <c r="Y70" s="119">
        <v>3.3</v>
      </c>
      <c r="Z70" s="125">
        <f t="shared" si="20"/>
        <v>3</v>
      </c>
      <c r="AA70" s="126">
        <f t="shared" si="23"/>
        <v>0</v>
      </c>
      <c r="AB70" s="127">
        <f t="shared" si="24"/>
        <v>0</v>
      </c>
      <c r="AC70" s="126">
        <f t="shared" si="25"/>
        <v>3</v>
      </c>
      <c r="AD70" s="126">
        <f t="shared" si="26"/>
        <v>0</v>
      </c>
      <c r="AE70" s="126">
        <f t="shared" si="27"/>
        <v>29</v>
      </c>
      <c r="AF70" s="126">
        <f t="shared" si="28"/>
        <v>0</v>
      </c>
      <c r="AG70" s="128">
        <f t="shared" si="29"/>
        <v>0</v>
      </c>
    </row>
    <row r="71" spans="1:33" ht="15.75" customHeight="1" x14ac:dyDescent="0.35">
      <c r="A71" s="61" t="s">
        <v>56</v>
      </c>
      <c r="B71" s="48" t="s">
        <v>50</v>
      </c>
      <c r="C71" s="62" t="s">
        <v>179</v>
      </c>
      <c r="D71" s="115"/>
      <c r="E71" s="115">
        <v>275</v>
      </c>
      <c r="F71" s="115"/>
      <c r="G71" s="115">
        <v>25</v>
      </c>
      <c r="H71" s="124">
        <f t="shared" si="21"/>
        <v>275</v>
      </c>
      <c r="I71" s="115">
        <v>4</v>
      </c>
      <c r="J71" s="117">
        <v>17</v>
      </c>
      <c r="K71" s="115">
        <v>450</v>
      </c>
      <c r="L71" s="115"/>
      <c r="M71" s="115">
        <v>30</v>
      </c>
      <c r="N71" s="115"/>
      <c r="O71" s="115"/>
      <c r="P71" s="124">
        <f t="shared" si="22"/>
        <v>30</v>
      </c>
      <c r="Q71" s="117">
        <v>1.7</v>
      </c>
      <c r="R71" s="115" t="s">
        <v>110</v>
      </c>
      <c r="S71" s="142" t="s">
        <v>112</v>
      </c>
      <c r="T71" s="115"/>
      <c r="U71" s="118">
        <v>0.35</v>
      </c>
      <c r="V71" s="118">
        <v>0.5</v>
      </c>
      <c r="W71" s="118">
        <v>0.8</v>
      </c>
      <c r="X71" s="115">
        <v>12</v>
      </c>
      <c r="Y71" s="119">
        <v>4</v>
      </c>
      <c r="Z71" s="125">
        <f t="shared" si="20"/>
        <v>17.647058823529413</v>
      </c>
      <c r="AA71" s="126">
        <f t="shared" si="23"/>
        <v>0</v>
      </c>
      <c r="AB71" s="127">
        <f t="shared" si="24"/>
        <v>6.4171122994652413E-2</v>
      </c>
      <c r="AC71" s="126">
        <f t="shared" si="25"/>
        <v>4.4117647058823533</v>
      </c>
      <c r="AD71" s="126">
        <f t="shared" si="26"/>
        <v>1.6363636363636365</v>
      </c>
      <c r="AE71" s="126">
        <f t="shared" si="27"/>
        <v>112.5</v>
      </c>
      <c r="AF71" s="126">
        <f t="shared" si="28"/>
        <v>2.5174825174825175</v>
      </c>
      <c r="AG71" s="128">
        <f t="shared" si="29"/>
        <v>3.2727272727272729</v>
      </c>
    </row>
    <row r="72" spans="1:33" ht="15.75" customHeight="1" x14ac:dyDescent="0.35">
      <c r="A72" s="61" t="s">
        <v>56</v>
      </c>
      <c r="B72" s="48" t="s">
        <v>50</v>
      </c>
      <c r="C72" s="62" t="s">
        <v>180</v>
      </c>
      <c r="D72" s="115"/>
      <c r="E72" s="115"/>
      <c r="F72" s="115">
        <v>200</v>
      </c>
      <c r="G72" s="115">
        <v>15</v>
      </c>
      <c r="H72" s="124">
        <f t="shared" si="21"/>
        <v>200</v>
      </c>
      <c r="I72" s="115">
        <v>3</v>
      </c>
      <c r="J72" s="117">
        <v>20</v>
      </c>
      <c r="K72" s="115">
        <v>480</v>
      </c>
      <c r="L72" s="115"/>
      <c r="M72" s="115">
        <v>10</v>
      </c>
      <c r="N72" s="115">
        <v>2</v>
      </c>
      <c r="O72" s="115"/>
      <c r="P72" s="124">
        <f t="shared" si="22"/>
        <v>12</v>
      </c>
      <c r="Q72" s="117">
        <v>2</v>
      </c>
      <c r="R72" s="115" t="s">
        <v>65</v>
      </c>
      <c r="S72" s="142" t="s">
        <v>119</v>
      </c>
      <c r="T72" s="115"/>
      <c r="U72" s="118">
        <v>0.4</v>
      </c>
      <c r="V72" s="118">
        <v>0.45</v>
      </c>
      <c r="W72" s="118">
        <v>0.8</v>
      </c>
      <c r="X72" s="115">
        <v>20</v>
      </c>
      <c r="Y72" s="119">
        <v>3.6</v>
      </c>
      <c r="Z72" s="125">
        <f t="shared" si="20"/>
        <v>6</v>
      </c>
      <c r="AA72" s="126">
        <f t="shared" si="23"/>
        <v>0</v>
      </c>
      <c r="AB72" s="127">
        <f t="shared" si="24"/>
        <v>0.03</v>
      </c>
      <c r="AC72" s="126">
        <f t="shared" si="25"/>
        <v>2</v>
      </c>
      <c r="AD72" s="126">
        <f t="shared" si="26"/>
        <v>2.4</v>
      </c>
      <c r="AE72" s="126">
        <f t="shared" si="27"/>
        <v>160</v>
      </c>
      <c r="AF72" s="126">
        <f t="shared" si="28"/>
        <v>4</v>
      </c>
      <c r="AG72" s="128">
        <f t="shared" si="29"/>
        <v>4.3636363636363633</v>
      </c>
    </row>
    <row r="73" spans="1:33" ht="15.75" customHeight="1" x14ac:dyDescent="0.35">
      <c r="A73" s="61" t="s">
        <v>80</v>
      </c>
      <c r="B73" s="48" t="s">
        <v>50</v>
      </c>
      <c r="C73" s="62" t="s">
        <v>181</v>
      </c>
      <c r="D73" s="115"/>
      <c r="E73" s="115"/>
      <c r="F73" s="115"/>
      <c r="G73" s="115"/>
      <c r="H73" s="124">
        <f t="shared" si="21"/>
        <v>0</v>
      </c>
      <c r="I73" s="115"/>
      <c r="J73" s="117"/>
      <c r="K73" s="115">
        <v>100</v>
      </c>
      <c r="L73" s="115"/>
      <c r="M73" s="115">
        <v>12</v>
      </c>
      <c r="N73" s="115"/>
      <c r="O73" s="115"/>
      <c r="P73" s="124">
        <f t="shared" si="22"/>
        <v>12</v>
      </c>
      <c r="Q73" s="117">
        <v>1</v>
      </c>
      <c r="R73" s="115" t="s">
        <v>182</v>
      </c>
      <c r="S73" s="142"/>
      <c r="T73" s="115"/>
      <c r="U73" s="118">
        <v>0.15</v>
      </c>
      <c r="V73" s="118">
        <v>0.3</v>
      </c>
      <c r="W73" s="118">
        <v>0.99</v>
      </c>
      <c r="X73" s="115">
        <v>12</v>
      </c>
      <c r="Y73" s="119">
        <v>4</v>
      </c>
      <c r="Z73" s="125">
        <f t="shared" si="20"/>
        <v>12</v>
      </c>
      <c r="AA73" s="126">
        <f t="shared" si="23"/>
        <v>0</v>
      </c>
      <c r="AB73" s="127">
        <f t="shared" si="24"/>
        <v>0</v>
      </c>
      <c r="AC73" s="126">
        <f t="shared" si="25"/>
        <v>0</v>
      </c>
      <c r="AD73" s="126">
        <f t="shared" si="26"/>
        <v>0</v>
      </c>
      <c r="AE73" s="126">
        <f t="shared" si="27"/>
        <v>0</v>
      </c>
      <c r="AF73" s="126">
        <f t="shared" si="28"/>
        <v>0</v>
      </c>
      <c r="AG73" s="128">
        <f t="shared" si="29"/>
        <v>0</v>
      </c>
    </row>
    <row r="74" spans="1:33" ht="15.75" customHeight="1" x14ac:dyDescent="0.35">
      <c r="A74" s="61" t="s">
        <v>80</v>
      </c>
      <c r="B74" s="48" t="s">
        <v>50</v>
      </c>
      <c r="C74" s="62" t="s">
        <v>183</v>
      </c>
      <c r="D74" s="115"/>
      <c r="E74" s="115"/>
      <c r="F74" s="115"/>
      <c r="G74" s="115"/>
      <c r="H74" s="124">
        <f t="shared" si="21"/>
        <v>0</v>
      </c>
      <c r="I74" s="115"/>
      <c r="J74" s="117"/>
      <c r="K74" s="115">
        <v>100</v>
      </c>
      <c r="L74" s="115"/>
      <c r="M74" s="115">
        <v>12</v>
      </c>
      <c r="N74" s="115"/>
      <c r="O74" s="115"/>
      <c r="P74" s="124">
        <f t="shared" si="22"/>
        <v>12</v>
      </c>
      <c r="Q74" s="117">
        <v>1</v>
      </c>
      <c r="R74" s="115" t="s">
        <v>182</v>
      </c>
      <c r="S74" s="142"/>
      <c r="T74" s="115"/>
      <c r="U74" s="118">
        <v>0.15</v>
      </c>
      <c r="V74" s="118">
        <v>0.3</v>
      </c>
      <c r="W74" s="118">
        <v>0.99</v>
      </c>
      <c r="X74" s="115">
        <v>12</v>
      </c>
      <c r="Y74" s="119">
        <v>4</v>
      </c>
      <c r="Z74" s="125">
        <f t="shared" si="20"/>
        <v>12</v>
      </c>
      <c r="AA74" s="126">
        <f t="shared" si="23"/>
        <v>0</v>
      </c>
      <c r="AB74" s="127">
        <f t="shared" si="24"/>
        <v>0</v>
      </c>
      <c r="AC74" s="126">
        <f t="shared" si="25"/>
        <v>0</v>
      </c>
      <c r="AD74" s="126">
        <f t="shared" si="26"/>
        <v>0</v>
      </c>
      <c r="AE74" s="126">
        <f t="shared" si="27"/>
        <v>0</v>
      </c>
      <c r="AF74" s="126">
        <f t="shared" si="28"/>
        <v>0</v>
      </c>
      <c r="AG74" s="128">
        <f t="shared" si="29"/>
        <v>0</v>
      </c>
    </row>
    <row r="75" spans="1:33" ht="15.75" customHeight="1" x14ac:dyDescent="0.35">
      <c r="A75" s="61" t="s">
        <v>56</v>
      </c>
      <c r="B75" s="48" t="s">
        <v>50</v>
      </c>
      <c r="C75" s="62" t="s">
        <v>184</v>
      </c>
      <c r="D75" s="115"/>
      <c r="E75" s="115"/>
      <c r="F75" s="115">
        <v>200</v>
      </c>
      <c r="G75" s="115">
        <v>25</v>
      </c>
      <c r="H75" s="124">
        <f t="shared" si="21"/>
        <v>200</v>
      </c>
      <c r="I75" s="115">
        <v>4</v>
      </c>
      <c r="J75" s="117">
        <v>6</v>
      </c>
      <c r="K75" s="115">
        <v>500</v>
      </c>
      <c r="L75" s="115">
        <v>40</v>
      </c>
      <c r="M75" s="115"/>
      <c r="N75" s="115"/>
      <c r="O75" s="115">
        <v>50</v>
      </c>
      <c r="P75" s="124">
        <f t="shared" si="22"/>
        <v>40</v>
      </c>
      <c r="Q75" s="117">
        <v>2.7</v>
      </c>
      <c r="R75" s="115" t="s">
        <v>65</v>
      </c>
      <c r="S75" s="142" t="s">
        <v>111</v>
      </c>
      <c r="T75" s="115"/>
      <c r="U75" s="118">
        <v>0.15</v>
      </c>
      <c r="V75" s="118">
        <v>0.55000000000000004</v>
      </c>
      <c r="W75" s="118">
        <v>0.8</v>
      </c>
      <c r="X75" s="115">
        <v>4</v>
      </c>
      <c r="Y75" s="119">
        <v>4.5</v>
      </c>
      <c r="Z75" s="125">
        <f t="shared" ref="Z75:Z106" si="30">IFERROR(P75/Q75,0)</f>
        <v>14.814814814814813</v>
      </c>
      <c r="AA75" s="126">
        <f t="shared" si="23"/>
        <v>18.518518518518519</v>
      </c>
      <c r="AB75" s="127">
        <f t="shared" si="24"/>
        <v>7.407407407407407E-2</v>
      </c>
      <c r="AC75" s="126">
        <f t="shared" si="25"/>
        <v>3.7037037037037033</v>
      </c>
      <c r="AD75" s="126">
        <f t="shared" si="26"/>
        <v>2.5</v>
      </c>
      <c r="AE75" s="126">
        <f t="shared" si="27"/>
        <v>125</v>
      </c>
      <c r="AF75" s="126">
        <f t="shared" si="28"/>
        <v>2.9411764705882355</v>
      </c>
      <c r="AG75" s="128">
        <f t="shared" si="29"/>
        <v>5.5555555555555562</v>
      </c>
    </row>
    <row r="76" spans="1:33" ht="15.75" customHeight="1" x14ac:dyDescent="0.35">
      <c r="A76" s="61" t="s">
        <v>45</v>
      </c>
      <c r="B76" s="48" t="s">
        <v>50</v>
      </c>
      <c r="C76" s="62" t="s">
        <v>185</v>
      </c>
      <c r="D76" s="115"/>
      <c r="E76" s="115"/>
      <c r="F76" s="115"/>
      <c r="G76" s="115"/>
      <c r="H76" s="124">
        <f t="shared" si="21"/>
        <v>0</v>
      </c>
      <c r="I76" s="115">
        <v>1</v>
      </c>
      <c r="J76" s="117"/>
      <c r="K76" s="115">
        <v>70</v>
      </c>
      <c r="L76" s="115">
        <v>5</v>
      </c>
      <c r="M76" s="115"/>
      <c r="N76" s="115"/>
      <c r="O76" s="115"/>
      <c r="P76" s="124">
        <f t="shared" si="22"/>
        <v>5</v>
      </c>
      <c r="Q76" s="117">
        <v>1.3</v>
      </c>
      <c r="R76" s="115" t="s">
        <v>150</v>
      </c>
      <c r="S76" s="142"/>
      <c r="T76" s="115"/>
      <c r="U76" s="118">
        <v>0.2</v>
      </c>
      <c r="V76" s="118">
        <v>0.3</v>
      </c>
      <c r="W76" s="118">
        <v>0.99</v>
      </c>
      <c r="X76" s="115"/>
      <c r="Y76" s="119">
        <v>4.3</v>
      </c>
      <c r="Z76" s="125">
        <f t="shared" si="30"/>
        <v>3.8461538461538458</v>
      </c>
      <c r="AA76" s="126">
        <f t="shared" si="23"/>
        <v>0</v>
      </c>
      <c r="AB76" s="127">
        <f t="shared" si="24"/>
        <v>0</v>
      </c>
      <c r="AC76" s="126">
        <f t="shared" si="25"/>
        <v>3.8461538461538458</v>
      </c>
      <c r="AD76" s="126">
        <f t="shared" si="26"/>
        <v>0</v>
      </c>
      <c r="AE76" s="126">
        <f t="shared" si="27"/>
        <v>70</v>
      </c>
      <c r="AF76" s="126">
        <f t="shared" si="28"/>
        <v>0</v>
      </c>
      <c r="AG76" s="128">
        <f t="shared" si="29"/>
        <v>0</v>
      </c>
    </row>
    <row r="77" spans="1:33" ht="15.75" customHeight="1" x14ac:dyDescent="0.35">
      <c r="A77" s="61" t="s">
        <v>80</v>
      </c>
      <c r="B77" s="48" t="s">
        <v>50</v>
      </c>
      <c r="C77" s="62" t="s">
        <v>186</v>
      </c>
      <c r="D77" s="115"/>
      <c r="E77" s="115"/>
      <c r="F77" s="115">
        <v>100</v>
      </c>
      <c r="G77" s="115"/>
      <c r="H77" s="124">
        <f t="shared" si="21"/>
        <v>100</v>
      </c>
      <c r="I77" s="115">
        <v>2</v>
      </c>
      <c r="J77" s="117">
        <v>10</v>
      </c>
      <c r="K77" s="115">
        <v>80</v>
      </c>
      <c r="L77" s="115"/>
      <c r="M77" s="115">
        <v>2</v>
      </c>
      <c r="N77" s="115"/>
      <c r="O77" s="115"/>
      <c r="P77" s="124">
        <f t="shared" si="22"/>
        <v>2</v>
      </c>
      <c r="Q77" s="117">
        <v>0.8</v>
      </c>
      <c r="R77" s="115" t="s">
        <v>187</v>
      </c>
      <c r="S77" s="142"/>
      <c r="T77" s="115"/>
      <c r="U77" s="118">
        <v>0.1</v>
      </c>
      <c r="V77" s="118">
        <v>0.01</v>
      </c>
      <c r="W77" s="118">
        <v>0.99</v>
      </c>
      <c r="X77" s="115">
        <v>10</v>
      </c>
      <c r="Y77" s="119">
        <v>3.6</v>
      </c>
      <c r="Z77" s="125">
        <f t="shared" si="30"/>
        <v>2.5</v>
      </c>
      <c r="AA77" s="126">
        <f t="shared" si="23"/>
        <v>0</v>
      </c>
      <c r="AB77" s="127">
        <f t="shared" si="24"/>
        <v>2.5000000000000001E-2</v>
      </c>
      <c r="AC77" s="126">
        <f t="shared" si="25"/>
        <v>1.25</v>
      </c>
      <c r="AD77" s="126">
        <f t="shared" si="26"/>
        <v>0.8</v>
      </c>
      <c r="AE77" s="126">
        <f t="shared" si="27"/>
        <v>40</v>
      </c>
      <c r="AF77" s="126">
        <f t="shared" si="28"/>
        <v>0.88888888888888884</v>
      </c>
      <c r="AG77" s="128">
        <f t="shared" si="29"/>
        <v>0.80808080808080807</v>
      </c>
    </row>
    <row r="78" spans="1:33" ht="15.75" customHeight="1" x14ac:dyDescent="0.35">
      <c r="A78" s="61" t="s">
        <v>80</v>
      </c>
      <c r="B78" s="48" t="s">
        <v>50</v>
      </c>
      <c r="C78" s="62" t="s">
        <v>188</v>
      </c>
      <c r="D78" s="115"/>
      <c r="E78" s="115"/>
      <c r="F78" s="115"/>
      <c r="G78" s="115">
        <v>12</v>
      </c>
      <c r="H78" s="124">
        <f t="shared" si="21"/>
        <v>0</v>
      </c>
      <c r="I78" s="115">
        <v>2</v>
      </c>
      <c r="J78" s="117">
        <v>6</v>
      </c>
      <c r="K78" s="115">
        <v>135</v>
      </c>
      <c r="L78" s="115">
        <v>8</v>
      </c>
      <c r="M78" s="115"/>
      <c r="N78" s="115"/>
      <c r="O78" s="115"/>
      <c r="P78" s="124">
        <f t="shared" si="22"/>
        <v>8</v>
      </c>
      <c r="Q78" s="117">
        <v>1.1000000000000001</v>
      </c>
      <c r="R78" s="115" t="s">
        <v>150</v>
      </c>
      <c r="S78" s="142"/>
      <c r="T78" s="115"/>
      <c r="U78" s="118">
        <v>0.3</v>
      </c>
      <c r="V78" s="118">
        <v>0.4</v>
      </c>
      <c r="W78" s="118">
        <v>0.99</v>
      </c>
      <c r="X78" s="115"/>
      <c r="Y78" s="119">
        <v>4</v>
      </c>
      <c r="Z78" s="125">
        <f t="shared" si="30"/>
        <v>7.2727272727272725</v>
      </c>
      <c r="AA78" s="126">
        <f t="shared" si="23"/>
        <v>0</v>
      </c>
      <c r="AB78" s="127">
        <f t="shared" si="24"/>
        <v>0</v>
      </c>
      <c r="AC78" s="126">
        <f t="shared" si="25"/>
        <v>3.6363636363636362</v>
      </c>
      <c r="AD78" s="126">
        <f t="shared" si="26"/>
        <v>0</v>
      </c>
      <c r="AE78" s="126">
        <f t="shared" si="27"/>
        <v>67.5</v>
      </c>
      <c r="AF78" s="126">
        <f t="shared" si="28"/>
        <v>0</v>
      </c>
      <c r="AG78" s="128">
        <f t="shared" si="29"/>
        <v>0</v>
      </c>
    </row>
    <row r="79" spans="1:33" ht="15.75" customHeight="1" x14ac:dyDescent="0.35">
      <c r="A79" s="61" t="s">
        <v>56</v>
      </c>
      <c r="B79" s="48" t="s">
        <v>50</v>
      </c>
      <c r="C79" s="62" t="s">
        <v>189</v>
      </c>
      <c r="D79" s="115"/>
      <c r="E79" s="115"/>
      <c r="F79" s="115">
        <v>150</v>
      </c>
      <c r="G79" s="115">
        <v>5</v>
      </c>
      <c r="H79" s="124">
        <f t="shared" si="21"/>
        <v>150</v>
      </c>
      <c r="I79" s="115"/>
      <c r="J79" s="117">
        <v>14</v>
      </c>
      <c r="K79" s="115"/>
      <c r="L79" s="115"/>
      <c r="M79" s="115"/>
      <c r="N79" s="115"/>
      <c r="O79" s="115"/>
      <c r="P79" s="124">
        <f t="shared" si="22"/>
        <v>0</v>
      </c>
      <c r="Q79" s="117"/>
      <c r="R79" s="115"/>
      <c r="S79" s="142"/>
      <c r="T79" s="115"/>
      <c r="U79" s="118">
        <v>0</v>
      </c>
      <c r="V79" s="118">
        <v>0.25</v>
      </c>
      <c r="W79" s="118">
        <v>0.8</v>
      </c>
      <c r="X79" s="115"/>
      <c r="Y79" s="119">
        <v>5</v>
      </c>
      <c r="Z79" s="125">
        <f t="shared" si="30"/>
        <v>0</v>
      </c>
      <c r="AA79" s="126">
        <f t="shared" si="23"/>
        <v>0</v>
      </c>
      <c r="AB79" s="127">
        <f t="shared" si="24"/>
        <v>0</v>
      </c>
      <c r="AC79" s="126">
        <f t="shared" si="25"/>
        <v>0</v>
      </c>
      <c r="AD79" s="126">
        <f t="shared" si="26"/>
        <v>0</v>
      </c>
      <c r="AE79" s="126">
        <f t="shared" si="27"/>
        <v>0</v>
      </c>
      <c r="AF79" s="126">
        <f t="shared" si="28"/>
        <v>0</v>
      </c>
      <c r="AG79" s="128">
        <f t="shared" si="29"/>
        <v>0</v>
      </c>
    </row>
    <row r="80" spans="1:33" ht="15.75" customHeight="1" x14ac:dyDescent="0.35">
      <c r="A80" s="61" t="s">
        <v>56</v>
      </c>
      <c r="B80" s="48" t="s">
        <v>50</v>
      </c>
      <c r="C80" s="62" t="s">
        <v>190</v>
      </c>
      <c r="D80" s="115">
        <v>300</v>
      </c>
      <c r="E80" s="115"/>
      <c r="F80" s="115"/>
      <c r="G80" s="115">
        <v>18</v>
      </c>
      <c r="H80" s="124">
        <f t="shared" si="21"/>
        <v>300</v>
      </c>
      <c r="I80" s="115">
        <v>4</v>
      </c>
      <c r="J80" s="117">
        <v>20</v>
      </c>
      <c r="K80" s="115">
        <v>900</v>
      </c>
      <c r="L80" s="115">
        <v>15</v>
      </c>
      <c r="M80" s="115"/>
      <c r="N80" s="115"/>
      <c r="O80" s="115">
        <v>75</v>
      </c>
      <c r="P80" s="124">
        <f t="shared" si="22"/>
        <v>15</v>
      </c>
      <c r="Q80" s="117">
        <v>1.5</v>
      </c>
      <c r="R80" s="115" t="s">
        <v>65</v>
      </c>
      <c r="S80" s="142" t="s">
        <v>119</v>
      </c>
      <c r="T80" s="115"/>
      <c r="U80" s="118">
        <v>0.05</v>
      </c>
      <c r="V80" s="118">
        <v>0.75</v>
      </c>
      <c r="W80" s="118">
        <v>0.8</v>
      </c>
      <c r="X80" s="115"/>
      <c r="Y80" s="119">
        <v>3.2</v>
      </c>
      <c r="Z80" s="125">
        <f t="shared" si="30"/>
        <v>10</v>
      </c>
      <c r="AA80" s="126">
        <f t="shared" si="23"/>
        <v>50</v>
      </c>
      <c r="AB80" s="127">
        <f t="shared" si="24"/>
        <v>3.3333333333333333E-2</v>
      </c>
      <c r="AC80" s="126">
        <f t="shared" si="25"/>
        <v>2.5</v>
      </c>
      <c r="AD80" s="126">
        <f t="shared" si="26"/>
        <v>3</v>
      </c>
      <c r="AE80" s="126">
        <f t="shared" si="27"/>
        <v>225</v>
      </c>
      <c r="AF80" s="126">
        <f t="shared" si="28"/>
        <v>3.1578947368421058</v>
      </c>
      <c r="AG80" s="128">
        <f t="shared" si="29"/>
        <v>12</v>
      </c>
    </row>
    <row r="81" spans="1:34" ht="15.75" customHeight="1" x14ac:dyDescent="0.35">
      <c r="A81" s="61" t="s">
        <v>56</v>
      </c>
      <c r="B81" s="48" t="s">
        <v>50</v>
      </c>
      <c r="C81" s="62" t="s">
        <v>191</v>
      </c>
      <c r="D81" s="115"/>
      <c r="E81" s="115">
        <v>200</v>
      </c>
      <c r="F81" s="115"/>
      <c r="G81" s="115">
        <v>24</v>
      </c>
      <c r="H81" s="124">
        <f t="shared" si="21"/>
        <v>200</v>
      </c>
      <c r="I81" s="115">
        <v>3</v>
      </c>
      <c r="J81" s="117">
        <v>20</v>
      </c>
      <c r="K81" s="115">
        <v>500</v>
      </c>
      <c r="L81" s="115">
        <v>30</v>
      </c>
      <c r="M81" s="115"/>
      <c r="N81" s="115"/>
      <c r="O81" s="115"/>
      <c r="P81" s="124">
        <f t="shared" si="22"/>
        <v>30</v>
      </c>
      <c r="Q81" s="117">
        <v>1.3</v>
      </c>
      <c r="R81" s="115" t="s">
        <v>110</v>
      </c>
      <c r="S81" s="142" t="s">
        <v>119</v>
      </c>
      <c r="T81" s="115"/>
      <c r="U81" s="118">
        <v>0.5</v>
      </c>
      <c r="V81" s="118">
        <v>0.4</v>
      </c>
      <c r="W81" s="118">
        <v>0.8</v>
      </c>
      <c r="X81" s="115"/>
      <c r="Y81" s="119">
        <v>5</v>
      </c>
      <c r="Z81" s="125">
        <f t="shared" si="30"/>
        <v>23.076923076923077</v>
      </c>
      <c r="AA81" s="126">
        <f t="shared" si="23"/>
        <v>0</v>
      </c>
      <c r="AB81" s="127">
        <f t="shared" si="24"/>
        <v>0.11538461538461538</v>
      </c>
      <c r="AC81" s="126">
        <f t="shared" si="25"/>
        <v>7.6923076923076925</v>
      </c>
      <c r="AD81" s="126">
        <f t="shared" si="26"/>
        <v>2.5</v>
      </c>
      <c r="AE81" s="126">
        <f t="shared" si="27"/>
        <v>166.66666666666666</v>
      </c>
      <c r="AF81" s="126">
        <f t="shared" si="28"/>
        <v>5</v>
      </c>
      <c r="AG81" s="128">
        <f t="shared" si="29"/>
        <v>4.166666666666667</v>
      </c>
      <c r="AH81" s="73"/>
    </row>
    <row r="82" spans="1:34" ht="15.75" customHeight="1" x14ac:dyDescent="0.35">
      <c r="A82" s="61" t="s">
        <v>56</v>
      </c>
      <c r="B82" s="48" t="s">
        <v>50</v>
      </c>
      <c r="C82" s="62" t="s">
        <v>192</v>
      </c>
      <c r="D82" s="115"/>
      <c r="E82" s="115"/>
      <c r="F82" s="115"/>
      <c r="G82" s="115"/>
      <c r="H82" s="124">
        <f t="shared" si="21"/>
        <v>0</v>
      </c>
      <c r="I82" s="115"/>
      <c r="J82" s="117"/>
      <c r="K82" s="115">
        <v>65</v>
      </c>
      <c r="L82" s="115">
        <v>9</v>
      </c>
      <c r="M82" s="115"/>
      <c r="N82" s="115"/>
      <c r="O82" s="115"/>
      <c r="P82" s="124">
        <f t="shared" si="22"/>
        <v>9</v>
      </c>
      <c r="Q82" s="117">
        <v>1.3</v>
      </c>
      <c r="R82" s="115"/>
      <c r="S82" s="142"/>
      <c r="T82" s="115"/>
      <c r="U82" s="118">
        <v>0.05</v>
      </c>
      <c r="V82" s="118">
        <v>0.2</v>
      </c>
      <c r="W82" s="118">
        <v>0.5</v>
      </c>
      <c r="X82" s="115"/>
      <c r="Y82" s="119">
        <v>5.3</v>
      </c>
      <c r="Z82" s="125">
        <f t="shared" si="30"/>
        <v>6.9230769230769225</v>
      </c>
      <c r="AA82" s="126">
        <f t="shared" si="23"/>
        <v>0</v>
      </c>
      <c r="AB82" s="127">
        <f t="shared" si="24"/>
        <v>0</v>
      </c>
      <c r="AC82" s="126">
        <f t="shared" si="25"/>
        <v>0</v>
      </c>
      <c r="AD82" s="126">
        <f t="shared" si="26"/>
        <v>0</v>
      </c>
      <c r="AE82" s="126">
        <f t="shared" si="27"/>
        <v>0</v>
      </c>
      <c r="AF82" s="126">
        <f t="shared" si="28"/>
        <v>0</v>
      </c>
      <c r="AG82" s="128">
        <f t="shared" si="29"/>
        <v>0</v>
      </c>
    </row>
    <row r="83" spans="1:34" ht="15.75" customHeight="1" x14ac:dyDescent="0.35">
      <c r="A83" s="61" t="s">
        <v>56</v>
      </c>
      <c r="B83" s="48" t="s">
        <v>50</v>
      </c>
      <c r="C83" s="62" t="s">
        <v>193</v>
      </c>
      <c r="D83" s="115"/>
      <c r="E83" s="115"/>
      <c r="F83" s="115"/>
      <c r="G83" s="115"/>
      <c r="H83" s="124">
        <f t="shared" si="21"/>
        <v>0</v>
      </c>
      <c r="I83" s="115"/>
      <c r="J83" s="117"/>
      <c r="K83" s="115">
        <v>50</v>
      </c>
      <c r="L83" s="115">
        <v>5</v>
      </c>
      <c r="M83" s="115"/>
      <c r="N83" s="115"/>
      <c r="O83" s="115"/>
      <c r="P83" s="124">
        <f t="shared" si="22"/>
        <v>5</v>
      </c>
      <c r="Q83" s="117">
        <v>1.2</v>
      </c>
      <c r="R83" s="115" t="s">
        <v>194</v>
      </c>
      <c r="S83" s="142"/>
      <c r="T83" s="115"/>
      <c r="U83" s="118">
        <v>0.15</v>
      </c>
      <c r="V83" s="118">
        <v>0.1</v>
      </c>
      <c r="W83" s="118">
        <v>0.99</v>
      </c>
      <c r="X83" s="115"/>
      <c r="Y83" s="119">
        <v>4</v>
      </c>
      <c r="Z83" s="125">
        <f t="shared" si="30"/>
        <v>4.166666666666667</v>
      </c>
      <c r="AA83" s="126">
        <f t="shared" si="23"/>
        <v>0</v>
      </c>
      <c r="AB83" s="127">
        <f t="shared" si="24"/>
        <v>0</v>
      </c>
      <c r="AC83" s="126">
        <f t="shared" si="25"/>
        <v>0</v>
      </c>
      <c r="AD83" s="126">
        <f t="shared" si="26"/>
        <v>0</v>
      </c>
      <c r="AE83" s="126">
        <f t="shared" si="27"/>
        <v>0</v>
      </c>
      <c r="AF83" s="126">
        <f t="shared" si="28"/>
        <v>0</v>
      </c>
      <c r="AG83" s="128">
        <f t="shared" si="29"/>
        <v>0</v>
      </c>
    </row>
    <row r="84" spans="1:34" ht="15.75" customHeight="1" x14ac:dyDescent="0.35">
      <c r="A84" s="61" t="s">
        <v>99</v>
      </c>
      <c r="B84" s="48" t="s">
        <v>50</v>
      </c>
      <c r="C84" s="62" t="s">
        <v>195</v>
      </c>
      <c r="D84" s="115"/>
      <c r="E84" s="115">
        <v>200</v>
      </c>
      <c r="F84" s="115">
        <v>100</v>
      </c>
      <c r="G84" s="115"/>
      <c r="H84" s="124">
        <f t="shared" si="21"/>
        <v>300</v>
      </c>
      <c r="I84" s="115">
        <v>3</v>
      </c>
      <c r="J84" s="117">
        <v>15</v>
      </c>
      <c r="K84" s="115">
        <v>300</v>
      </c>
      <c r="L84" s="115"/>
      <c r="M84" s="115"/>
      <c r="N84" s="115"/>
      <c r="O84" s="115">
        <v>200</v>
      </c>
      <c r="P84" s="124">
        <f t="shared" si="22"/>
        <v>0</v>
      </c>
      <c r="Q84" s="117">
        <v>4</v>
      </c>
      <c r="R84" s="115"/>
      <c r="S84" s="142"/>
      <c r="T84" s="115"/>
      <c r="U84" s="118">
        <v>0.05</v>
      </c>
      <c r="V84" s="118">
        <v>0.9</v>
      </c>
      <c r="W84" s="118">
        <v>0.6</v>
      </c>
      <c r="X84" s="115">
        <v>3</v>
      </c>
      <c r="Y84" s="119">
        <v>2.9</v>
      </c>
      <c r="Z84" s="125">
        <f t="shared" si="30"/>
        <v>0</v>
      </c>
      <c r="AA84" s="126">
        <f t="shared" si="23"/>
        <v>50</v>
      </c>
      <c r="AB84" s="127">
        <f t="shared" si="24"/>
        <v>0</v>
      </c>
      <c r="AC84" s="126">
        <f t="shared" si="25"/>
        <v>0</v>
      </c>
      <c r="AD84" s="126">
        <f t="shared" si="26"/>
        <v>1</v>
      </c>
      <c r="AE84" s="126">
        <f t="shared" si="27"/>
        <v>100</v>
      </c>
      <c r="AF84" s="126">
        <f t="shared" si="28"/>
        <v>1.0526315789473684</v>
      </c>
      <c r="AG84" s="128">
        <f t="shared" si="29"/>
        <v>10.000000000000002</v>
      </c>
    </row>
    <row r="85" spans="1:34" ht="15.75" customHeight="1" x14ac:dyDescent="0.35">
      <c r="A85" s="61" t="s">
        <v>53</v>
      </c>
      <c r="B85" s="48" t="s">
        <v>101</v>
      </c>
      <c r="C85" s="62" t="s">
        <v>196</v>
      </c>
      <c r="D85" s="115">
        <v>50</v>
      </c>
      <c r="E85" s="115"/>
      <c r="F85" s="115">
        <v>30</v>
      </c>
      <c r="G85" s="115"/>
      <c r="H85" s="124">
        <f t="shared" si="21"/>
        <v>80</v>
      </c>
      <c r="I85" s="115">
        <v>2</v>
      </c>
      <c r="J85" s="117">
        <v>9</v>
      </c>
      <c r="K85" s="115">
        <v>85</v>
      </c>
      <c r="L85" s="115">
        <v>6.5</v>
      </c>
      <c r="M85" s="115"/>
      <c r="N85" s="115"/>
      <c r="O85" s="115"/>
      <c r="P85" s="124">
        <f t="shared" si="22"/>
        <v>6.5</v>
      </c>
      <c r="Q85" s="117">
        <v>0.7</v>
      </c>
      <c r="R85" s="115"/>
      <c r="S85" s="142"/>
      <c r="T85" s="115"/>
      <c r="U85" s="118">
        <v>0.35</v>
      </c>
      <c r="V85" s="118">
        <v>0.1</v>
      </c>
      <c r="W85" s="118">
        <v>0.99</v>
      </c>
      <c r="X85" s="115"/>
      <c r="Y85" s="119">
        <v>4.8</v>
      </c>
      <c r="Z85" s="125">
        <f t="shared" si="30"/>
        <v>9.2857142857142865</v>
      </c>
      <c r="AA85" s="126">
        <f t="shared" si="23"/>
        <v>0</v>
      </c>
      <c r="AB85" s="127">
        <f t="shared" si="24"/>
        <v>0.11607142857142858</v>
      </c>
      <c r="AC85" s="126">
        <f t="shared" si="25"/>
        <v>4.6428571428571432</v>
      </c>
      <c r="AD85" s="126">
        <f t="shared" si="26"/>
        <v>1.0625</v>
      </c>
      <c r="AE85" s="126">
        <f t="shared" si="27"/>
        <v>42.5</v>
      </c>
      <c r="AF85" s="126">
        <f t="shared" si="28"/>
        <v>1.6346153846153846</v>
      </c>
      <c r="AG85" s="128">
        <f t="shared" si="29"/>
        <v>1.1805555555555556</v>
      </c>
    </row>
    <row r="86" spans="1:34" ht="15.75" customHeight="1" x14ac:dyDescent="0.35">
      <c r="A86" s="61" t="s">
        <v>80</v>
      </c>
      <c r="B86" s="48" t="s">
        <v>50</v>
      </c>
      <c r="C86" s="62" t="s">
        <v>197</v>
      </c>
      <c r="D86" s="115"/>
      <c r="E86" s="115"/>
      <c r="F86" s="115"/>
      <c r="G86" s="115"/>
      <c r="H86" s="124">
        <f t="shared" si="21"/>
        <v>0</v>
      </c>
      <c r="I86" s="115"/>
      <c r="J86" s="117"/>
      <c r="K86" s="115">
        <v>420</v>
      </c>
      <c r="L86" s="115"/>
      <c r="M86" s="115"/>
      <c r="N86" s="115">
        <v>40</v>
      </c>
      <c r="O86" s="115"/>
      <c r="P86" s="124">
        <f t="shared" si="22"/>
        <v>40</v>
      </c>
      <c r="Q86" s="117">
        <v>3</v>
      </c>
      <c r="R86" s="115" t="s">
        <v>198</v>
      </c>
      <c r="S86" s="142"/>
      <c r="T86" s="115"/>
      <c r="U86" s="118">
        <v>0.3</v>
      </c>
      <c r="V86" s="118">
        <v>0.5</v>
      </c>
      <c r="W86" s="118">
        <v>0.99</v>
      </c>
      <c r="X86" s="115">
        <v>18</v>
      </c>
      <c r="Y86" s="119">
        <v>3.6</v>
      </c>
      <c r="Z86" s="125">
        <f t="shared" si="30"/>
        <v>13.333333333333334</v>
      </c>
      <c r="AA86" s="126">
        <f t="shared" si="23"/>
        <v>0</v>
      </c>
      <c r="AB86" s="127">
        <f t="shared" si="24"/>
        <v>0</v>
      </c>
      <c r="AC86" s="126">
        <f t="shared" si="25"/>
        <v>0</v>
      </c>
      <c r="AD86" s="126">
        <f t="shared" si="26"/>
        <v>0</v>
      </c>
      <c r="AE86" s="126">
        <f t="shared" si="27"/>
        <v>0</v>
      </c>
      <c r="AF86" s="126">
        <f t="shared" si="28"/>
        <v>0</v>
      </c>
      <c r="AG86" s="128">
        <f t="shared" si="29"/>
        <v>0</v>
      </c>
    </row>
    <row r="87" spans="1:34" ht="15.75" customHeight="1" x14ac:dyDescent="0.35">
      <c r="A87" s="66" t="s">
        <v>49</v>
      </c>
      <c r="B87" s="67" t="s">
        <v>77</v>
      </c>
      <c r="C87" s="68" t="s">
        <v>199</v>
      </c>
      <c r="D87" s="115">
        <v>70</v>
      </c>
      <c r="E87" s="115"/>
      <c r="F87" s="115">
        <v>40</v>
      </c>
      <c r="G87" s="115"/>
      <c r="H87" s="124">
        <f t="shared" si="21"/>
        <v>110</v>
      </c>
      <c r="I87" s="115">
        <v>3</v>
      </c>
      <c r="J87" s="117">
        <v>12</v>
      </c>
      <c r="K87" s="115">
        <v>135</v>
      </c>
      <c r="L87" s="115">
        <v>8</v>
      </c>
      <c r="M87" s="115"/>
      <c r="N87" s="115"/>
      <c r="O87" s="115"/>
      <c r="P87" s="124">
        <f t="shared" si="22"/>
        <v>8</v>
      </c>
      <c r="Q87" s="117">
        <v>1.3</v>
      </c>
      <c r="R87" s="115" t="s">
        <v>200</v>
      </c>
      <c r="S87" s="142"/>
      <c r="T87" s="115"/>
      <c r="U87" s="118">
        <v>0.2</v>
      </c>
      <c r="V87" s="118">
        <v>0.1</v>
      </c>
      <c r="W87" s="118">
        <v>0.99</v>
      </c>
      <c r="X87" s="115"/>
      <c r="Y87" s="119">
        <v>6</v>
      </c>
      <c r="Z87" s="125">
        <f t="shared" si="30"/>
        <v>6.1538461538461533</v>
      </c>
      <c r="AA87" s="126">
        <f t="shared" si="23"/>
        <v>0</v>
      </c>
      <c r="AB87" s="127">
        <f t="shared" si="24"/>
        <v>5.5944055944055937E-2</v>
      </c>
      <c r="AC87" s="126">
        <f t="shared" si="25"/>
        <v>2.0512820512820511</v>
      </c>
      <c r="AD87" s="126">
        <f t="shared" si="26"/>
        <v>1.2272727272727273</v>
      </c>
      <c r="AE87" s="126">
        <f t="shared" si="27"/>
        <v>45</v>
      </c>
      <c r="AF87" s="126">
        <f t="shared" si="28"/>
        <v>1.5340909090909092</v>
      </c>
      <c r="AG87" s="128">
        <f t="shared" si="29"/>
        <v>1.3636363636363635</v>
      </c>
    </row>
    <row r="88" spans="1:34" ht="15.75" customHeight="1" x14ac:dyDescent="0.35">
      <c r="A88" s="61" t="s">
        <v>56</v>
      </c>
      <c r="B88" s="48" t="s">
        <v>50</v>
      </c>
      <c r="C88" s="62" t="s">
        <v>201</v>
      </c>
      <c r="D88" s="115"/>
      <c r="E88" s="115"/>
      <c r="F88" s="115">
        <v>120</v>
      </c>
      <c r="G88" s="115">
        <v>18</v>
      </c>
      <c r="H88" s="124">
        <f t="shared" si="21"/>
        <v>120</v>
      </c>
      <c r="I88" s="115">
        <v>3</v>
      </c>
      <c r="J88" s="117">
        <v>17</v>
      </c>
      <c r="K88" s="115">
        <v>300</v>
      </c>
      <c r="L88" s="115">
        <v>15</v>
      </c>
      <c r="M88" s="115"/>
      <c r="N88" s="115"/>
      <c r="O88" s="115">
        <v>7</v>
      </c>
      <c r="P88" s="124">
        <f t="shared" si="22"/>
        <v>15</v>
      </c>
      <c r="Q88" s="117">
        <v>1.3</v>
      </c>
      <c r="R88" s="115" t="s">
        <v>110</v>
      </c>
      <c r="S88" s="142" t="s">
        <v>119</v>
      </c>
      <c r="T88" s="115"/>
      <c r="U88" s="118">
        <v>0.45</v>
      </c>
      <c r="V88" s="118">
        <v>0.6</v>
      </c>
      <c r="W88" s="118">
        <v>0.8</v>
      </c>
      <c r="X88" s="115"/>
      <c r="Y88" s="119">
        <v>5.3</v>
      </c>
      <c r="Z88" s="125">
        <f t="shared" si="30"/>
        <v>11.538461538461538</v>
      </c>
      <c r="AA88" s="126">
        <f t="shared" si="23"/>
        <v>5.3846153846153841</v>
      </c>
      <c r="AB88" s="127">
        <f t="shared" si="24"/>
        <v>9.6153846153846159E-2</v>
      </c>
      <c r="AC88" s="126">
        <f t="shared" si="25"/>
        <v>3.8461538461538463</v>
      </c>
      <c r="AD88" s="126">
        <f t="shared" si="26"/>
        <v>2.5</v>
      </c>
      <c r="AE88" s="126">
        <f t="shared" si="27"/>
        <v>100</v>
      </c>
      <c r="AF88" s="126">
        <f t="shared" si="28"/>
        <v>4.545454545454545</v>
      </c>
      <c r="AG88" s="128">
        <f t="shared" si="29"/>
        <v>6.25</v>
      </c>
    </row>
    <row r="89" spans="1:34" ht="15.75" customHeight="1" x14ac:dyDescent="0.35">
      <c r="A89" s="61" t="s">
        <v>56</v>
      </c>
      <c r="B89" s="48" t="s">
        <v>50</v>
      </c>
      <c r="C89" s="62" t="s">
        <v>202</v>
      </c>
      <c r="D89" s="115"/>
      <c r="E89" s="115">
        <v>150</v>
      </c>
      <c r="F89" s="115"/>
      <c r="G89" s="115">
        <v>15</v>
      </c>
      <c r="H89" s="124">
        <f t="shared" si="21"/>
        <v>150</v>
      </c>
      <c r="I89" s="115">
        <v>2</v>
      </c>
      <c r="J89" s="117">
        <v>17</v>
      </c>
      <c r="K89" s="115">
        <v>260</v>
      </c>
      <c r="L89" s="115"/>
      <c r="M89" s="115">
        <v>6</v>
      </c>
      <c r="N89" s="115"/>
      <c r="O89" s="115"/>
      <c r="P89" s="124">
        <f t="shared" si="22"/>
        <v>6</v>
      </c>
      <c r="Q89" s="117">
        <v>1.5</v>
      </c>
      <c r="R89" s="115"/>
      <c r="S89" s="142"/>
      <c r="T89" s="115"/>
      <c r="U89" s="118">
        <v>0.25</v>
      </c>
      <c r="V89" s="118">
        <v>0.25</v>
      </c>
      <c r="W89" s="118">
        <v>0.8</v>
      </c>
      <c r="X89" s="115">
        <v>18</v>
      </c>
      <c r="Y89" s="119">
        <v>3.8</v>
      </c>
      <c r="Z89" s="125">
        <f t="shared" si="30"/>
        <v>4</v>
      </c>
      <c r="AA89" s="126">
        <f t="shared" si="23"/>
        <v>0</v>
      </c>
      <c r="AB89" s="127">
        <f t="shared" si="24"/>
        <v>2.6666666666666668E-2</v>
      </c>
      <c r="AC89" s="126">
        <f t="shared" si="25"/>
        <v>2</v>
      </c>
      <c r="AD89" s="126">
        <f t="shared" si="26"/>
        <v>1.7333333333333334</v>
      </c>
      <c r="AE89" s="126">
        <f t="shared" si="27"/>
        <v>130</v>
      </c>
      <c r="AF89" s="126">
        <f t="shared" si="28"/>
        <v>2.3111111111111113</v>
      </c>
      <c r="AG89" s="128">
        <f t="shared" si="29"/>
        <v>2.3111111111111113</v>
      </c>
    </row>
    <row r="90" spans="1:34" ht="15.75" customHeight="1" x14ac:dyDescent="0.35">
      <c r="A90" s="61" t="s">
        <v>45</v>
      </c>
      <c r="B90" s="48" t="s">
        <v>50</v>
      </c>
      <c r="C90" s="62" t="s">
        <v>203</v>
      </c>
      <c r="D90" s="115"/>
      <c r="E90" s="115"/>
      <c r="F90" s="115"/>
      <c r="G90" s="115"/>
      <c r="H90" s="124">
        <f t="shared" si="21"/>
        <v>0</v>
      </c>
      <c r="I90" s="115">
        <v>2</v>
      </c>
      <c r="J90" s="117"/>
      <c r="K90" s="115">
        <v>100</v>
      </c>
      <c r="L90" s="115">
        <v>5</v>
      </c>
      <c r="M90" s="115"/>
      <c r="N90" s="115"/>
      <c r="O90" s="115"/>
      <c r="P90" s="124">
        <f t="shared" si="22"/>
        <v>5</v>
      </c>
      <c r="Q90" s="117">
        <v>0.8</v>
      </c>
      <c r="R90" s="115" t="s">
        <v>150</v>
      </c>
      <c r="S90" s="142"/>
      <c r="T90" s="115"/>
      <c r="U90" s="118">
        <v>0.1</v>
      </c>
      <c r="V90" s="118">
        <v>0.2</v>
      </c>
      <c r="W90" s="118">
        <v>0.99</v>
      </c>
      <c r="X90" s="115"/>
      <c r="Y90" s="119">
        <v>3.3</v>
      </c>
      <c r="Z90" s="125">
        <f t="shared" si="30"/>
        <v>6.25</v>
      </c>
      <c r="AA90" s="126">
        <f t="shared" si="23"/>
        <v>0</v>
      </c>
      <c r="AB90" s="127">
        <f t="shared" si="24"/>
        <v>0</v>
      </c>
      <c r="AC90" s="126">
        <f t="shared" si="25"/>
        <v>3.125</v>
      </c>
      <c r="AD90" s="126">
        <f t="shared" si="26"/>
        <v>0</v>
      </c>
      <c r="AE90" s="126">
        <f t="shared" si="27"/>
        <v>50</v>
      </c>
      <c r="AF90" s="126">
        <f t="shared" si="28"/>
        <v>0</v>
      </c>
      <c r="AG90" s="128">
        <f t="shared" si="29"/>
        <v>0</v>
      </c>
    </row>
    <row r="91" spans="1:34" ht="15.75" customHeight="1" x14ac:dyDescent="0.35">
      <c r="A91" s="61" t="s">
        <v>204</v>
      </c>
      <c r="B91" s="48" t="s">
        <v>50</v>
      </c>
      <c r="C91" s="62" t="s">
        <v>205</v>
      </c>
      <c r="D91" s="115"/>
      <c r="E91" s="115">
        <v>90</v>
      </c>
      <c r="F91" s="115">
        <v>45</v>
      </c>
      <c r="G91" s="115"/>
      <c r="H91" s="124">
        <f t="shared" si="21"/>
        <v>135</v>
      </c>
      <c r="I91" s="115">
        <v>3</v>
      </c>
      <c r="J91" s="117">
        <v>13</v>
      </c>
      <c r="K91" s="115">
        <v>250</v>
      </c>
      <c r="L91" s="115"/>
      <c r="M91" s="115" t="s">
        <v>130</v>
      </c>
      <c r="N91" s="115"/>
      <c r="O91" s="115">
        <v>4</v>
      </c>
      <c r="P91" s="124">
        <f t="shared" si="22"/>
        <v>0</v>
      </c>
      <c r="Q91" s="117">
        <v>2</v>
      </c>
      <c r="R91" s="115"/>
      <c r="S91" s="142"/>
      <c r="T91" s="115"/>
      <c r="U91" s="118">
        <v>0.1</v>
      </c>
      <c r="V91" s="118">
        <v>0.6</v>
      </c>
      <c r="W91" s="118">
        <v>0.1</v>
      </c>
      <c r="X91" s="115">
        <v>20</v>
      </c>
      <c r="Y91" s="119">
        <v>4.8</v>
      </c>
      <c r="Z91" s="125">
        <f t="shared" si="30"/>
        <v>0</v>
      </c>
      <c r="AA91" s="126">
        <f t="shared" si="23"/>
        <v>2</v>
      </c>
      <c r="AB91" s="127">
        <f t="shared" si="24"/>
        <v>0</v>
      </c>
      <c r="AC91" s="126">
        <f t="shared" si="25"/>
        <v>0</v>
      </c>
      <c r="AD91" s="126">
        <f t="shared" si="26"/>
        <v>1.8518518518518519</v>
      </c>
      <c r="AE91" s="126">
        <f t="shared" si="27"/>
        <v>83.333333333333329</v>
      </c>
      <c r="AF91" s="126">
        <f t="shared" si="28"/>
        <v>2.0576131687242798</v>
      </c>
      <c r="AG91" s="128">
        <f t="shared" si="29"/>
        <v>4.6296296296296298</v>
      </c>
    </row>
    <row r="92" spans="1:34" ht="15.75" customHeight="1" x14ac:dyDescent="0.35">
      <c r="A92" s="61" t="s">
        <v>49</v>
      </c>
      <c r="B92" s="48" t="s">
        <v>101</v>
      </c>
      <c r="C92" s="62" t="s">
        <v>206</v>
      </c>
      <c r="D92" s="115">
        <v>40</v>
      </c>
      <c r="E92" s="115"/>
      <c r="F92" s="115">
        <v>50</v>
      </c>
      <c r="G92" s="115"/>
      <c r="H92" s="124">
        <f t="shared" si="21"/>
        <v>90</v>
      </c>
      <c r="I92" s="115">
        <v>2</v>
      </c>
      <c r="J92" s="117">
        <v>18</v>
      </c>
      <c r="K92" s="115">
        <v>105</v>
      </c>
      <c r="L92" s="115">
        <v>7.5</v>
      </c>
      <c r="M92" s="115"/>
      <c r="N92" s="115"/>
      <c r="O92" s="115"/>
      <c r="P92" s="124">
        <f t="shared" si="22"/>
        <v>7.5</v>
      </c>
      <c r="Q92" s="117">
        <v>1</v>
      </c>
      <c r="R92" s="115" t="s">
        <v>176</v>
      </c>
      <c r="S92" s="142"/>
      <c r="T92" s="115"/>
      <c r="U92" s="118">
        <v>0.2</v>
      </c>
      <c r="V92" s="118">
        <v>0.35</v>
      </c>
      <c r="W92" s="118">
        <v>0.99</v>
      </c>
      <c r="X92" s="115"/>
      <c r="Y92" s="119">
        <v>6</v>
      </c>
      <c r="Z92" s="125">
        <f t="shared" si="30"/>
        <v>7.5</v>
      </c>
      <c r="AA92" s="126">
        <f t="shared" si="23"/>
        <v>0</v>
      </c>
      <c r="AB92" s="127">
        <f t="shared" si="24"/>
        <v>8.3333333333333329E-2</v>
      </c>
      <c r="AC92" s="126">
        <f t="shared" si="25"/>
        <v>3.75</v>
      </c>
      <c r="AD92" s="126">
        <f t="shared" si="26"/>
        <v>1.1666666666666667</v>
      </c>
      <c r="AE92" s="126">
        <f t="shared" si="27"/>
        <v>52.5</v>
      </c>
      <c r="AF92" s="126">
        <f t="shared" si="28"/>
        <v>1.4583333333333333</v>
      </c>
      <c r="AG92" s="128">
        <f t="shared" si="29"/>
        <v>1.7948717948717947</v>
      </c>
    </row>
    <row r="93" spans="1:34" ht="15.75" customHeight="1" x14ac:dyDescent="0.35">
      <c r="A93" s="61" t="s">
        <v>56</v>
      </c>
      <c r="B93" s="48" t="s">
        <v>50</v>
      </c>
      <c r="C93" s="62" t="s">
        <v>207</v>
      </c>
      <c r="D93" s="115">
        <v>300</v>
      </c>
      <c r="E93" s="115"/>
      <c r="F93" s="115"/>
      <c r="G93" s="115">
        <v>15</v>
      </c>
      <c r="H93" s="124">
        <f t="shared" si="21"/>
        <v>300</v>
      </c>
      <c r="I93" s="115">
        <v>4</v>
      </c>
      <c r="J93" s="117">
        <v>9</v>
      </c>
      <c r="K93" s="115">
        <v>960</v>
      </c>
      <c r="L93" s="115">
        <v>42</v>
      </c>
      <c r="M93" s="115"/>
      <c r="N93" s="115"/>
      <c r="O93" s="115">
        <v>34</v>
      </c>
      <c r="P93" s="124">
        <f t="shared" si="22"/>
        <v>42</v>
      </c>
      <c r="Q93" s="117">
        <v>1.7</v>
      </c>
      <c r="R93" s="115" t="s">
        <v>65</v>
      </c>
      <c r="S93" s="142" t="s">
        <v>119</v>
      </c>
      <c r="T93" s="115"/>
      <c r="U93" s="118">
        <v>0.4</v>
      </c>
      <c r="V93" s="118">
        <v>0.7</v>
      </c>
      <c r="W93" s="118">
        <v>0.8</v>
      </c>
      <c r="X93" s="115"/>
      <c r="Y93" s="119">
        <v>5.3</v>
      </c>
      <c r="Z93" s="125">
        <f t="shared" si="30"/>
        <v>24.705882352941178</v>
      </c>
      <c r="AA93" s="126">
        <f t="shared" si="23"/>
        <v>20</v>
      </c>
      <c r="AB93" s="127">
        <f t="shared" si="24"/>
        <v>8.2352941176470587E-2</v>
      </c>
      <c r="AC93" s="126">
        <f t="shared" si="25"/>
        <v>6.1764705882352944</v>
      </c>
      <c r="AD93" s="126">
        <f t="shared" si="26"/>
        <v>3.2</v>
      </c>
      <c r="AE93" s="126">
        <f t="shared" si="27"/>
        <v>240</v>
      </c>
      <c r="AF93" s="126">
        <f t="shared" si="28"/>
        <v>5.333333333333333</v>
      </c>
      <c r="AG93" s="128">
        <f t="shared" si="29"/>
        <v>10.666666666666664</v>
      </c>
    </row>
    <row r="94" spans="1:34" ht="15.75" customHeight="1" x14ac:dyDescent="0.35">
      <c r="A94" s="61" t="s">
        <v>80</v>
      </c>
      <c r="B94" s="48" t="s">
        <v>50</v>
      </c>
      <c r="C94" s="62" t="s">
        <v>208</v>
      </c>
      <c r="D94" s="115"/>
      <c r="E94" s="115"/>
      <c r="F94" s="115"/>
      <c r="G94" s="115"/>
      <c r="H94" s="124">
        <f t="shared" si="21"/>
        <v>0</v>
      </c>
      <c r="I94" s="115">
        <v>2</v>
      </c>
      <c r="J94" s="117"/>
      <c r="K94" s="115">
        <v>100</v>
      </c>
      <c r="L94" s="115">
        <v>7</v>
      </c>
      <c r="M94" s="115"/>
      <c r="N94" s="115"/>
      <c r="O94" s="115"/>
      <c r="P94" s="124">
        <f t="shared" si="22"/>
        <v>7</v>
      </c>
      <c r="Q94" s="117">
        <v>1</v>
      </c>
      <c r="R94" s="115" t="s">
        <v>150</v>
      </c>
      <c r="S94" s="142"/>
      <c r="T94" s="115"/>
      <c r="U94" s="118">
        <v>0.2</v>
      </c>
      <c r="V94" s="118">
        <v>0.1</v>
      </c>
      <c r="W94" s="118">
        <v>0.99</v>
      </c>
      <c r="X94" s="115"/>
      <c r="Y94" s="119">
        <v>4</v>
      </c>
      <c r="Z94" s="125">
        <f t="shared" si="30"/>
        <v>7</v>
      </c>
      <c r="AA94" s="126">
        <f t="shared" si="23"/>
        <v>0</v>
      </c>
      <c r="AB94" s="127">
        <f t="shared" si="24"/>
        <v>0</v>
      </c>
      <c r="AC94" s="126">
        <f t="shared" si="25"/>
        <v>3.5</v>
      </c>
      <c r="AD94" s="126">
        <f t="shared" si="26"/>
        <v>0</v>
      </c>
      <c r="AE94" s="126">
        <f t="shared" si="27"/>
        <v>50</v>
      </c>
      <c r="AF94" s="126">
        <f t="shared" si="28"/>
        <v>0</v>
      </c>
      <c r="AG94" s="128">
        <f t="shared" si="29"/>
        <v>0</v>
      </c>
    </row>
    <row r="95" spans="1:34" ht="15.75" customHeight="1" x14ac:dyDescent="0.35">
      <c r="A95" s="61" t="s">
        <v>45</v>
      </c>
      <c r="B95" s="48" t="s">
        <v>50</v>
      </c>
      <c r="C95" s="62" t="s">
        <v>209</v>
      </c>
      <c r="D95" s="115"/>
      <c r="E95" s="115"/>
      <c r="F95" s="115"/>
      <c r="G95" s="115"/>
      <c r="H95" s="124">
        <f t="shared" si="21"/>
        <v>0</v>
      </c>
      <c r="I95" s="115">
        <v>1</v>
      </c>
      <c r="J95" s="117"/>
      <c r="K95" s="115">
        <v>35</v>
      </c>
      <c r="L95" s="115">
        <v>5</v>
      </c>
      <c r="M95" s="115"/>
      <c r="N95" s="115"/>
      <c r="O95" s="115"/>
      <c r="P95" s="124">
        <f t="shared" si="22"/>
        <v>5</v>
      </c>
      <c r="Q95" s="117">
        <v>1.7</v>
      </c>
      <c r="R95" s="115" t="s">
        <v>150</v>
      </c>
      <c r="S95" s="142"/>
      <c r="T95" s="115"/>
      <c r="U95" s="118">
        <v>0.2</v>
      </c>
      <c r="V95" s="118">
        <v>0.3</v>
      </c>
      <c r="W95" s="118">
        <v>0.99</v>
      </c>
      <c r="X95" s="115"/>
      <c r="Y95" s="119">
        <v>5</v>
      </c>
      <c r="Z95" s="125">
        <f t="shared" si="30"/>
        <v>2.9411764705882355</v>
      </c>
      <c r="AA95" s="126">
        <f t="shared" si="23"/>
        <v>0</v>
      </c>
      <c r="AB95" s="127">
        <f t="shared" si="24"/>
        <v>0</v>
      </c>
      <c r="AC95" s="126">
        <f t="shared" si="25"/>
        <v>2.9411764705882355</v>
      </c>
      <c r="AD95" s="126">
        <f t="shared" si="26"/>
        <v>0</v>
      </c>
      <c r="AE95" s="126">
        <f t="shared" si="27"/>
        <v>35</v>
      </c>
      <c r="AF95" s="126">
        <f t="shared" si="28"/>
        <v>0</v>
      </c>
      <c r="AG95" s="128">
        <f t="shared" si="29"/>
        <v>0</v>
      </c>
    </row>
    <row r="96" spans="1:34" ht="15.75" customHeight="1" x14ac:dyDescent="0.35">
      <c r="A96" s="61" t="s">
        <v>80</v>
      </c>
      <c r="B96" s="48" t="s">
        <v>50</v>
      </c>
      <c r="C96" s="62" t="s">
        <v>210</v>
      </c>
      <c r="D96" s="115"/>
      <c r="E96" s="115"/>
      <c r="F96" s="115"/>
      <c r="G96" s="115"/>
      <c r="H96" s="124">
        <f t="shared" si="21"/>
        <v>0</v>
      </c>
      <c r="I96" s="115">
        <v>1</v>
      </c>
      <c r="J96" s="117"/>
      <c r="K96" s="115">
        <v>15</v>
      </c>
      <c r="L96" s="115">
        <v>5</v>
      </c>
      <c r="M96" s="115"/>
      <c r="N96" s="115"/>
      <c r="O96" s="115"/>
      <c r="P96" s="124">
        <f t="shared" si="22"/>
        <v>5</v>
      </c>
      <c r="Q96" s="117">
        <v>1.4</v>
      </c>
      <c r="R96" s="115" t="s">
        <v>150</v>
      </c>
      <c r="S96" s="142"/>
      <c r="T96" s="115"/>
      <c r="U96" s="118">
        <v>0.35</v>
      </c>
      <c r="V96" s="118">
        <v>0</v>
      </c>
      <c r="W96" s="118">
        <v>0.99</v>
      </c>
      <c r="X96" s="115"/>
      <c r="Y96" s="119">
        <v>4</v>
      </c>
      <c r="Z96" s="125">
        <f t="shared" si="30"/>
        <v>3.5714285714285716</v>
      </c>
      <c r="AA96" s="126">
        <f t="shared" si="23"/>
        <v>0</v>
      </c>
      <c r="AB96" s="127">
        <f t="shared" si="24"/>
        <v>0</v>
      </c>
      <c r="AC96" s="126">
        <f t="shared" si="25"/>
        <v>3.5714285714285716</v>
      </c>
      <c r="AD96" s="126">
        <f t="shared" si="26"/>
        <v>0</v>
      </c>
      <c r="AE96" s="126">
        <f t="shared" si="27"/>
        <v>15</v>
      </c>
      <c r="AF96" s="126">
        <f t="shared" si="28"/>
        <v>0</v>
      </c>
      <c r="AG96" s="128">
        <f t="shared" si="29"/>
        <v>0</v>
      </c>
    </row>
    <row r="97" spans="1:34" ht="15.75" customHeight="1" x14ac:dyDescent="0.35">
      <c r="A97" s="63" t="s">
        <v>80</v>
      </c>
      <c r="B97" s="64" t="s">
        <v>77</v>
      </c>
      <c r="C97" s="65" t="s">
        <v>211</v>
      </c>
      <c r="D97" s="115">
        <v>75</v>
      </c>
      <c r="E97" s="115"/>
      <c r="F97" s="115">
        <v>175</v>
      </c>
      <c r="G97" s="115">
        <v>2</v>
      </c>
      <c r="H97" s="124">
        <f t="shared" si="21"/>
        <v>250</v>
      </c>
      <c r="I97" s="115">
        <v>3</v>
      </c>
      <c r="J97" s="117">
        <v>20</v>
      </c>
      <c r="K97" s="115">
        <v>300</v>
      </c>
      <c r="L97" s="115">
        <v>9</v>
      </c>
      <c r="M97" s="115"/>
      <c r="N97" s="115"/>
      <c r="O97" s="115"/>
      <c r="P97" s="124">
        <f t="shared" si="22"/>
        <v>9</v>
      </c>
      <c r="Q97" s="117">
        <v>1</v>
      </c>
      <c r="R97" s="115" t="s">
        <v>212</v>
      </c>
      <c r="S97" s="142"/>
      <c r="T97" s="115"/>
      <c r="U97" s="118">
        <v>0.3</v>
      </c>
      <c r="V97" s="118">
        <v>0.45</v>
      </c>
      <c r="W97" s="118">
        <v>0.99</v>
      </c>
      <c r="X97" s="115"/>
      <c r="Y97" s="119">
        <v>5.5</v>
      </c>
      <c r="Z97" s="125">
        <f t="shared" si="30"/>
        <v>9</v>
      </c>
      <c r="AA97" s="126">
        <f t="shared" si="23"/>
        <v>0</v>
      </c>
      <c r="AB97" s="127">
        <f t="shared" si="24"/>
        <v>3.5999999999999997E-2</v>
      </c>
      <c r="AC97" s="126">
        <f t="shared" si="25"/>
        <v>3</v>
      </c>
      <c r="AD97" s="126">
        <f t="shared" si="26"/>
        <v>1.2</v>
      </c>
      <c r="AE97" s="126">
        <f t="shared" si="27"/>
        <v>100</v>
      </c>
      <c r="AF97" s="126">
        <f t="shared" si="28"/>
        <v>1.7142857142857144</v>
      </c>
      <c r="AG97" s="128">
        <f t="shared" si="29"/>
        <v>2.1818181818181817</v>
      </c>
    </row>
    <row r="98" spans="1:34" ht="15.75" customHeight="1" x14ac:dyDescent="0.35">
      <c r="A98" s="63" t="s">
        <v>80</v>
      </c>
      <c r="B98" s="64" t="s">
        <v>77</v>
      </c>
      <c r="C98" s="65" t="s">
        <v>213</v>
      </c>
      <c r="D98" s="115">
        <v>100</v>
      </c>
      <c r="E98" s="115">
        <v>50</v>
      </c>
      <c r="F98" s="115"/>
      <c r="G98" s="115"/>
      <c r="H98" s="124">
        <f t="shared" ref="H98:H129" si="31">SUM(D98:F98)</f>
        <v>150</v>
      </c>
      <c r="I98" s="115">
        <v>2</v>
      </c>
      <c r="J98" s="117">
        <v>5</v>
      </c>
      <c r="K98" s="115">
        <v>257</v>
      </c>
      <c r="L98" s="115">
        <v>7.7</v>
      </c>
      <c r="M98" s="115"/>
      <c r="N98" s="115"/>
      <c r="O98" s="115"/>
      <c r="P98" s="124">
        <f t="shared" ref="P98:P129" si="32">SUBTOTAL(9,L98:N98)</f>
        <v>7.7</v>
      </c>
      <c r="Q98" s="117">
        <v>1</v>
      </c>
      <c r="R98" s="115" t="s">
        <v>214</v>
      </c>
      <c r="S98" s="142"/>
      <c r="T98" s="115"/>
      <c r="U98" s="118">
        <v>0.4</v>
      </c>
      <c r="V98" s="118">
        <v>0.35</v>
      </c>
      <c r="W98" s="118">
        <v>0.99</v>
      </c>
      <c r="X98" s="115"/>
      <c r="Y98" s="119">
        <v>4.3</v>
      </c>
      <c r="Z98" s="125">
        <f t="shared" si="30"/>
        <v>7.7</v>
      </c>
      <c r="AA98" s="126">
        <f t="shared" ref="AA98:AA129" si="33">IFERROR(O98/Q98,0)</f>
        <v>0</v>
      </c>
      <c r="AB98" s="127">
        <f t="shared" ref="AB98:AB129" si="34">IFERROR(Z98/H98,0)</f>
        <v>5.1333333333333335E-2</v>
      </c>
      <c r="AC98" s="126">
        <f t="shared" ref="AC98:AC129" si="35">IFERROR(Z98/I98,0)</f>
        <v>3.85</v>
      </c>
      <c r="AD98" s="126">
        <f t="shared" ref="AD98:AD129" si="36">IFERROR(K98/H98,0)</f>
        <v>1.7133333333333334</v>
      </c>
      <c r="AE98" s="126">
        <f t="shared" ref="AE98:AE129" si="37">IFERROR(K98/I98,0)</f>
        <v>128.5</v>
      </c>
      <c r="AF98" s="126">
        <f t="shared" ref="AF98:AF129" si="38">IFERROR((K98/(1-U98))/H98,0)</f>
        <v>2.8555555555555556</v>
      </c>
      <c r="AG98" s="128">
        <f t="shared" ref="AG98:AG129" si="39">IFERROR((K98/(1-V98))/H98,0)</f>
        <v>2.6358974358974359</v>
      </c>
    </row>
    <row r="99" spans="1:34" ht="15.75" customHeight="1" x14ac:dyDescent="0.35">
      <c r="A99" s="61" t="s">
        <v>80</v>
      </c>
      <c r="B99" s="48" t="s">
        <v>77</v>
      </c>
      <c r="C99" s="62" t="s">
        <v>215</v>
      </c>
      <c r="D99" s="115">
        <v>75</v>
      </c>
      <c r="E99" s="115"/>
      <c r="F99" s="115">
        <v>175</v>
      </c>
      <c r="G99" s="115">
        <v>2</v>
      </c>
      <c r="H99" s="124">
        <f t="shared" si="31"/>
        <v>250</v>
      </c>
      <c r="I99" s="115">
        <v>3</v>
      </c>
      <c r="J99" s="117">
        <v>20</v>
      </c>
      <c r="K99" s="115">
        <v>303</v>
      </c>
      <c r="L99" s="115">
        <v>13.4</v>
      </c>
      <c r="M99" s="115"/>
      <c r="N99" s="115"/>
      <c r="O99" s="115"/>
      <c r="P99" s="124">
        <f t="shared" si="32"/>
        <v>13.4</v>
      </c>
      <c r="Q99" s="117">
        <v>1.4</v>
      </c>
      <c r="R99" s="115" t="s">
        <v>212</v>
      </c>
      <c r="S99" s="142"/>
      <c r="T99" s="115"/>
      <c r="U99" s="118">
        <v>0.35</v>
      </c>
      <c r="V99" s="118">
        <v>0.3</v>
      </c>
      <c r="W99" s="118">
        <v>0.99</v>
      </c>
      <c r="X99" s="115"/>
      <c r="Y99" s="119">
        <v>5.8</v>
      </c>
      <c r="Z99" s="125">
        <f t="shared" si="30"/>
        <v>9.571428571428573</v>
      </c>
      <c r="AA99" s="126">
        <f t="shared" si="33"/>
        <v>0</v>
      </c>
      <c r="AB99" s="127">
        <f t="shared" si="34"/>
        <v>3.8285714285714291E-2</v>
      </c>
      <c r="AC99" s="126">
        <f t="shared" si="35"/>
        <v>3.1904761904761911</v>
      </c>
      <c r="AD99" s="126">
        <f t="shared" si="36"/>
        <v>1.212</v>
      </c>
      <c r="AE99" s="126">
        <f t="shared" si="37"/>
        <v>101</v>
      </c>
      <c r="AF99" s="126">
        <f t="shared" si="38"/>
        <v>1.8646153846153846</v>
      </c>
      <c r="AG99" s="128">
        <f t="shared" si="39"/>
        <v>1.7314285714285715</v>
      </c>
    </row>
    <row r="100" spans="1:34" ht="15.75" customHeight="1" x14ac:dyDescent="0.35">
      <c r="A100" s="63" t="s">
        <v>80</v>
      </c>
      <c r="B100" s="64" t="s">
        <v>77</v>
      </c>
      <c r="C100" s="62" t="s">
        <v>216</v>
      </c>
      <c r="D100" s="115"/>
      <c r="E100" s="115"/>
      <c r="F100" s="115">
        <v>400</v>
      </c>
      <c r="G100" s="115">
        <v>6</v>
      </c>
      <c r="H100" s="124">
        <f t="shared" si="31"/>
        <v>400</v>
      </c>
      <c r="I100" s="115">
        <v>4</v>
      </c>
      <c r="J100" s="117">
        <v>30</v>
      </c>
      <c r="K100" s="115">
        <v>550</v>
      </c>
      <c r="L100" s="115">
        <v>16.5</v>
      </c>
      <c r="M100" s="115"/>
      <c r="N100" s="115">
        <v>7.7</v>
      </c>
      <c r="O100" s="115"/>
      <c r="P100" s="124">
        <f t="shared" si="32"/>
        <v>24.2</v>
      </c>
      <c r="Q100" s="117">
        <v>1.2</v>
      </c>
      <c r="R100" s="115" t="s">
        <v>217</v>
      </c>
      <c r="S100" s="142"/>
      <c r="T100" s="115"/>
      <c r="U100" s="118">
        <v>0.2</v>
      </c>
      <c r="V100" s="118">
        <v>0.55000000000000004</v>
      </c>
      <c r="W100" s="118">
        <v>0.99</v>
      </c>
      <c r="X100" s="115"/>
      <c r="Y100" s="119">
        <v>6</v>
      </c>
      <c r="Z100" s="125">
        <f t="shared" si="30"/>
        <v>20.166666666666668</v>
      </c>
      <c r="AA100" s="126">
        <f t="shared" si="33"/>
        <v>0</v>
      </c>
      <c r="AB100" s="127">
        <f t="shared" si="34"/>
        <v>5.0416666666666672E-2</v>
      </c>
      <c r="AC100" s="126">
        <f t="shared" si="35"/>
        <v>5.041666666666667</v>
      </c>
      <c r="AD100" s="126">
        <f t="shared" si="36"/>
        <v>1.375</v>
      </c>
      <c r="AE100" s="126">
        <f t="shared" si="37"/>
        <v>137.5</v>
      </c>
      <c r="AF100" s="126">
        <f t="shared" si="38"/>
        <v>1.71875</v>
      </c>
      <c r="AG100" s="128">
        <f t="shared" si="39"/>
        <v>3.0555555555555558</v>
      </c>
      <c r="AH100" s="73"/>
    </row>
    <row r="101" spans="1:34" ht="15.75" customHeight="1" x14ac:dyDescent="0.35">
      <c r="A101" s="61" t="s">
        <v>56</v>
      </c>
      <c r="B101" s="48" t="s">
        <v>77</v>
      </c>
      <c r="C101" s="62" t="s">
        <v>218</v>
      </c>
      <c r="D101" s="115"/>
      <c r="E101" s="115">
        <v>200</v>
      </c>
      <c r="F101" s="115"/>
      <c r="G101" s="115">
        <v>15</v>
      </c>
      <c r="H101" s="124">
        <f t="shared" si="31"/>
        <v>200</v>
      </c>
      <c r="I101" s="115">
        <v>3</v>
      </c>
      <c r="J101" s="117">
        <v>9</v>
      </c>
      <c r="K101" s="115">
        <v>720</v>
      </c>
      <c r="L101" s="115">
        <v>24</v>
      </c>
      <c r="M101" s="115"/>
      <c r="N101" s="115"/>
      <c r="O101" s="115">
        <v>15</v>
      </c>
      <c r="P101" s="124">
        <f t="shared" si="32"/>
        <v>24</v>
      </c>
      <c r="Q101" s="117">
        <v>1.2</v>
      </c>
      <c r="R101" s="115" t="s">
        <v>65</v>
      </c>
      <c r="S101" s="142" t="s">
        <v>59</v>
      </c>
      <c r="T101" s="115"/>
      <c r="U101" s="118">
        <v>0.7</v>
      </c>
      <c r="V101" s="118">
        <v>0.6</v>
      </c>
      <c r="W101" s="118">
        <v>0.8</v>
      </c>
      <c r="X101" s="115"/>
      <c r="Y101" s="119">
        <v>4.3</v>
      </c>
      <c r="Z101" s="125">
        <f t="shared" si="30"/>
        <v>20</v>
      </c>
      <c r="AA101" s="126">
        <f t="shared" si="33"/>
        <v>12.5</v>
      </c>
      <c r="AB101" s="127">
        <f t="shared" si="34"/>
        <v>0.1</v>
      </c>
      <c r="AC101" s="126">
        <f t="shared" si="35"/>
        <v>6.666666666666667</v>
      </c>
      <c r="AD101" s="126">
        <f t="shared" si="36"/>
        <v>3.6</v>
      </c>
      <c r="AE101" s="126">
        <f t="shared" si="37"/>
        <v>240</v>
      </c>
      <c r="AF101" s="126">
        <f t="shared" si="38"/>
        <v>11.999999999999998</v>
      </c>
      <c r="AG101" s="128">
        <f t="shared" si="39"/>
        <v>9</v>
      </c>
    </row>
    <row r="102" spans="1:34" ht="15.75" customHeight="1" x14ac:dyDescent="0.35">
      <c r="A102" s="61" t="s">
        <v>56</v>
      </c>
      <c r="B102" s="48" t="s">
        <v>77</v>
      </c>
      <c r="C102" s="62" t="s">
        <v>219</v>
      </c>
      <c r="D102" s="115"/>
      <c r="E102" s="115">
        <v>180</v>
      </c>
      <c r="F102" s="115"/>
      <c r="G102" s="115">
        <v>12</v>
      </c>
      <c r="H102" s="124">
        <f t="shared" si="31"/>
        <v>180</v>
      </c>
      <c r="I102" s="115">
        <v>3</v>
      </c>
      <c r="J102" s="117">
        <v>22</v>
      </c>
      <c r="K102" s="115">
        <v>250</v>
      </c>
      <c r="L102" s="115"/>
      <c r="M102" s="115">
        <v>18</v>
      </c>
      <c r="N102" s="115"/>
      <c r="O102" s="115"/>
      <c r="P102" s="124">
        <f t="shared" si="32"/>
        <v>18</v>
      </c>
      <c r="Q102" s="117">
        <v>1.5</v>
      </c>
      <c r="R102" s="115" t="s">
        <v>65</v>
      </c>
      <c r="S102" s="142" t="s">
        <v>111</v>
      </c>
      <c r="T102" s="115"/>
      <c r="U102" s="118">
        <v>0.15</v>
      </c>
      <c r="V102" s="118">
        <v>0.2</v>
      </c>
      <c r="W102" s="118">
        <v>0.8</v>
      </c>
      <c r="X102" s="115">
        <v>12</v>
      </c>
      <c r="Y102" s="119">
        <v>5.5</v>
      </c>
      <c r="Z102" s="125">
        <f t="shared" si="30"/>
        <v>12</v>
      </c>
      <c r="AA102" s="126">
        <f t="shared" si="33"/>
        <v>0</v>
      </c>
      <c r="AB102" s="127">
        <f t="shared" si="34"/>
        <v>6.6666666666666666E-2</v>
      </c>
      <c r="AC102" s="126">
        <f t="shared" si="35"/>
        <v>4</v>
      </c>
      <c r="AD102" s="126">
        <f t="shared" si="36"/>
        <v>1.3888888888888888</v>
      </c>
      <c r="AE102" s="126">
        <f t="shared" si="37"/>
        <v>83.333333333333329</v>
      </c>
      <c r="AF102" s="126">
        <f t="shared" si="38"/>
        <v>1.6339869281045751</v>
      </c>
      <c r="AG102" s="128">
        <f t="shared" si="39"/>
        <v>1.7361111111111112</v>
      </c>
    </row>
    <row r="103" spans="1:34" ht="15.75" customHeight="1" x14ac:dyDescent="0.35">
      <c r="A103" s="61" t="s">
        <v>56</v>
      </c>
      <c r="B103" s="48" t="s">
        <v>77</v>
      </c>
      <c r="C103" s="62" t="s">
        <v>220</v>
      </c>
      <c r="D103" s="115">
        <v>350</v>
      </c>
      <c r="E103" s="115"/>
      <c r="F103" s="115"/>
      <c r="G103" s="115">
        <v>30</v>
      </c>
      <c r="H103" s="124">
        <f t="shared" si="31"/>
        <v>350</v>
      </c>
      <c r="I103" s="115">
        <v>4</v>
      </c>
      <c r="J103" s="117">
        <v>20</v>
      </c>
      <c r="K103" s="115">
        <v>700</v>
      </c>
      <c r="L103" s="115">
        <v>20</v>
      </c>
      <c r="M103" s="115"/>
      <c r="N103" s="115"/>
      <c r="O103" s="115"/>
      <c r="P103" s="124">
        <f t="shared" si="32"/>
        <v>20</v>
      </c>
      <c r="Q103" s="117">
        <v>1</v>
      </c>
      <c r="R103" s="115" t="s">
        <v>110</v>
      </c>
      <c r="S103" s="142" t="s">
        <v>119</v>
      </c>
      <c r="T103" s="115"/>
      <c r="U103" s="118">
        <v>0.6</v>
      </c>
      <c r="V103" s="118">
        <v>0.6</v>
      </c>
      <c r="W103" s="118">
        <v>0.8</v>
      </c>
      <c r="X103" s="115">
        <v>1</v>
      </c>
      <c r="Y103" s="119">
        <v>5.3</v>
      </c>
      <c r="Z103" s="125">
        <f t="shared" si="30"/>
        <v>20</v>
      </c>
      <c r="AA103" s="126">
        <f t="shared" si="33"/>
        <v>0</v>
      </c>
      <c r="AB103" s="127">
        <f t="shared" si="34"/>
        <v>5.7142857142857141E-2</v>
      </c>
      <c r="AC103" s="126">
        <f t="shared" si="35"/>
        <v>5</v>
      </c>
      <c r="AD103" s="126">
        <f t="shared" si="36"/>
        <v>2</v>
      </c>
      <c r="AE103" s="126">
        <f t="shared" si="37"/>
        <v>175</v>
      </c>
      <c r="AF103" s="126">
        <f t="shared" si="38"/>
        <v>5</v>
      </c>
      <c r="AG103" s="128">
        <f t="shared" si="39"/>
        <v>5</v>
      </c>
    </row>
    <row r="104" spans="1:34" ht="15.75" customHeight="1" x14ac:dyDescent="0.35">
      <c r="A104" s="63" t="s">
        <v>80</v>
      </c>
      <c r="B104" s="64" t="s">
        <v>77</v>
      </c>
      <c r="C104" s="65" t="s">
        <v>221</v>
      </c>
      <c r="D104" s="115"/>
      <c r="E104" s="115">
        <v>250</v>
      </c>
      <c r="F104" s="115">
        <v>100</v>
      </c>
      <c r="G104" s="115">
        <v>4</v>
      </c>
      <c r="H104" s="124">
        <f t="shared" si="31"/>
        <v>350</v>
      </c>
      <c r="I104" s="115">
        <v>2</v>
      </c>
      <c r="J104" s="117">
        <v>25</v>
      </c>
      <c r="K104" s="115">
        <v>385</v>
      </c>
      <c r="L104" s="115"/>
      <c r="M104" s="115">
        <v>12.1</v>
      </c>
      <c r="N104" s="115"/>
      <c r="O104" s="115"/>
      <c r="P104" s="124">
        <f t="shared" si="32"/>
        <v>12.1</v>
      </c>
      <c r="Q104" s="117">
        <v>1.5</v>
      </c>
      <c r="R104" s="115" t="s">
        <v>212</v>
      </c>
      <c r="S104" s="142"/>
      <c r="T104" s="115"/>
      <c r="U104" s="118">
        <v>0.2</v>
      </c>
      <c r="V104" s="118">
        <v>0.3</v>
      </c>
      <c r="W104" s="118">
        <v>0.99</v>
      </c>
      <c r="X104" s="115">
        <v>18</v>
      </c>
      <c r="Y104" s="119">
        <v>5.5</v>
      </c>
      <c r="Z104" s="125">
        <f t="shared" si="30"/>
        <v>8.0666666666666664</v>
      </c>
      <c r="AA104" s="126">
        <f t="shared" si="33"/>
        <v>0</v>
      </c>
      <c r="AB104" s="127">
        <f t="shared" si="34"/>
        <v>2.3047619047619046E-2</v>
      </c>
      <c r="AC104" s="126">
        <f t="shared" si="35"/>
        <v>4.0333333333333332</v>
      </c>
      <c r="AD104" s="126">
        <f t="shared" si="36"/>
        <v>1.1000000000000001</v>
      </c>
      <c r="AE104" s="126">
        <f t="shared" si="37"/>
        <v>192.5</v>
      </c>
      <c r="AF104" s="126">
        <f t="shared" si="38"/>
        <v>1.375</v>
      </c>
      <c r="AG104" s="128">
        <f t="shared" si="39"/>
        <v>1.5714285714285714</v>
      </c>
    </row>
    <row r="105" spans="1:34" ht="15.75" customHeight="1" x14ac:dyDescent="0.35">
      <c r="A105" s="61" t="s">
        <v>56</v>
      </c>
      <c r="B105" s="48" t="s">
        <v>77</v>
      </c>
      <c r="C105" s="62" t="s">
        <v>222</v>
      </c>
      <c r="D105" s="115"/>
      <c r="E105" s="115"/>
      <c r="F105" s="115">
        <v>350</v>
      </c>
      <c r="G105" s="115">
        <v>35</v>
      </c>
      <c r="H105" s="124">
        <f t="shared" si="31"/>
        <v>350</v>
      </c>
      <c r="I105" s="115">
        <v>4</v>
      </c>
      <c r="J105" s="117">
        <v>24</v>
      </c>
      <c r="K105" s="115">
        <v>1200</v>
      </c>
      <c r="L105" s="115">
        <v>26</v>
      </c>
      <c r="M105" s="115"/>
      <c r="N105" s="115"/>
      <c r="O105" s="115">
        <v>65</v>
      </c>
      <c r="P105" s="124">
        <f t="shared" si="32"/>
        <v>26</v>
      </c>
      <c r="Q105" s="117">
        <v>1.3</v>
      </c>
      <c r="R105" s="115" t="s">
        <v>119</v>
      </c>
      <c r="S105" s="142"/>
      <c r="T105" s="115"/>
      <c r="U105" s="118">
        <v>0.5</v>
      </c>
      <c r="V105" s="118">
        <v>0.75</v>
      </c>
      <c r="W105" s="118">
        <v>0.8</v>
      </c>
      <c r="X105" s="115"/>
      <c r="Y105" s="119">
        <v>3</v>
      </c>
      <c r="Z105" s="125">
        <f t="shared" si="30"/>
        <v>20</v>
      </c>
      <c r="AA105" s="126">
        <f t="shared" si="33"/>
        <v>50</v>
      </c>
      <c r="AB105" s="127">
        <f t="shared" si="34"/>
        <v>5.7142857142857141E-2</v>
      </c>
      <c r="AC105" s="126">
        <f t="shared" si="35"/>
        <v>5</v>
      </c>
      <c r="AD105" s="126">
        <f t="shared" si="36"/>
        <v>3.4285714285714284</v>
      </c>
      <c r="AE105" s="126">
        <f t="shared" si="37"/>
        <v>300</v>
      </c>
      <c r="AF105" s="126">
        <f t="shared" si="38"/>
        <v>6.8571428571428568</v>
      </c>
      <c r="AG105" s="128">
        <f t="shared" si="39"/>
        <v>13.714285714285714</v>
      </c>
    </row>
    <row r="106" spans="1:34" ht="15.75" customHeight="1" x14ac:dyDescent="0.35">
      <c r="A106" s="61" t="s">
        <v>56</v>
      </c>
      <c r="B106" s="48" t="s">
        <v>77</v>
      </c>
      <c r="C106" s="62" t="s">
        <v>223</v>
      </c>
      <c r="D106" s="115">
        <v>150</v>
      </c>
      <c r="E106" s="115"/>
      <c r="F106" s="115"/>
      <c r="G106" s="115">
        <v>18</v>
      </c>
      <c r="H106" s="124">
        <f t="shared" si="31"/>
        <v>150</v>
      </c>
      <c r="I106" s="115">
        <v>3</v>
      </c>
      <c r="J106" s="117">
        <v>20</v>
      </c>
      <c r="K106" s="115">
        <v>600</v>
      </c>
      <c r="L106" s="115">
        <v>16</v>
      </c>
      <c r="M106" s="115"/>
      <c r="N106" s="115"/>
      <c r="O106" s="115">
        <v>20</v>
      </c>
      <c r="P106" s="124">
        <f t="shared" si="32"/>
        <v>16</v>
      </c>
      <c r="Q106" s="117">
        <v>1.4</v>
      </c>
      <c r="R106" s="115" t="s">
        <v>65</v>
      </c>
      <c r="S106" s="142" t="s">
        <v>119</v>
      </c>
      <c r="T106" s="115"/>
      <c r="U106" s="118">
        <v>0.4</v>
      </c>
      <c r="V106" s="118">
        <v>0.55000000000000004</v>
      </c>
      <c r="W106" s="118">
        <v>0.8</v>
      </c>
      <c r="X106" s="115"/>
      <c r="Y106" s="119">
        <v>3.5</v>
      </c>
      <c r="Z106" s="125">
        <f t="shared" si="30"/>
        <v>11.428571428571429</v>
      </c>
      <c r="AA106" s="126">
        <f t="shared" si="33"/>
        <v>14.285714285714286</v>
      </c>
      <c r="AB106" s="127">
        <f t="shared" si="34"/>
        <v>7.6190476190476197E-2</v>
      </c>
      <c r="AC106" s="126">
        <f t="shared" si="35"/>
        <v>3.8095238095238098</v>
      </c>
      <c r="AD106" s="126">
        <f t="shared" si="36"/>
        <v>4</v>
      </c>
      <c r="AE106" s="126">
        <f t="shared" si="37"/>
        <v>200</v>
      </c>
      <c r="AF106" s="126">
        <f t="shared" si="38"/>
        <v>6.666666666666667</v>
      </c>
      <c r="AG106" s="128">
        <f t="shared" si="39"/>
        <v>8.8888888888888893</v>
      </c>
    </row>
    <row r="107" spans="1:34" ht="15.75" customHeight="1" x14ac:dyDescent="0.35">
      <c r="A107" s="61" t="s">
        <v>53</v>
      </c>
      <c r="B107" s="48" t="s">
        <v>50</v>
      </c>
      <c r="C107" s="62" t="s">
        <v>224</v>
      </c>
      <c r="D107" s="115"/>
      <c r="E107" s="115"/>
      <c r="F107" s="115">
        <v>90</v>
      </c>
      <c r="G107" s="115"/>
      <c r="H107" s="124">
        <f t="shared" si="31"/>
        <v>90</v>
      </c>
      <c r="I107" s="115"/>
      <c r="J107" s="117">
        <v>2</v>
      </c>
      <c r="K107" s="115">
        <v>85</v>
      </c>
      <c r="L107" s="115">
        <v>7</v>
      </c>
      <c r="M107" s="115"/>
      <c r="N107" s="115"/>
      <c r="O107" s="115"/>
      <c r="P107" s="124">
        <f t="shared" si="32"/>
        <v>7</v>
      </c>
      <c r="Q107" s="117">
        <v>1</v>
      </c>
      <c r="R107" s="115" t="s">
        <v>225</v>
      </c>
      <c r="S107" s="142"/>
      <c r="T107" s="115"/>
      <c r="U107" s="118">
        <v>0.35</v>
      </c>
      <c r="V107" s="118">
        <v>0.15</v>
      </c>
      <c r="W107" s="118">
        <v>0.99</v>
      </c>
      <c r="X107" s="115"/>
      <c r="Y107" s="119">
        <v>4.3</v>
      </c>
      <c r="Z107" s="125">
        <f t="shared" ref="Z107:Z138" si="40">IFERROR(P107/Q107,0)</f>
        <v>7</v>
      </c>
      <c r="AA107" s="126">
        <f t="shared" si="33"/>
        <v>0</v>
      </c>
      <c r="AB107" s="127">
        <f t="shared" si="34"/>
        <v>7.7777777777777779E-2</v>
      </c>
      <c r="AC107" s="126">
        <f t="shared" si="35"/>
        <v>0</v>
      </c>
      <c r="AD107" s="126">
        <f t="shared" si="36"/>
        <v>0.94444444444444442</v>
      </c>
      <c r="AE107" s="126">
        <f t="shared" si="37"/>
        <v>0</v>
      </c>
      <c r="AF107" s="126">
        <f t="shared" si="38"/>
        <v>1.4529914529914529</v>
      </c>
      <c r="AG107" s="128">
        <f t="shared" si="39"/>
        <v>1.1111111111111112</v>
      </c>
    </row>
    <row r="108" spans="1:34" ht="15.75" customHeight="1" x14ac:dyDescent="0.35">
      <c r="A108" s="61" t="s">
        <v>99</v>
      </c>
      <c r="B108" s="48" t="s">
        <v>77</v>
      </c>
      <c r="C108" s="62" t="s">
        <v>226</v>
      </c>
      <c r="D108" s="115"/>
      <c r="E108" s="115">
        <v>300</v>
      </c>
      <c r="F108" s="115">
        <v>200</v>
      </c>
      <c r="G108" s="115"/>
      <c r="H108" s="124">
        <f t="shared" si="31"/>
        <v>500</v>
      </c>
      <c r="I108" s="115">
        <v>5</v>
      </c>
      <c r="J108" s="117">
        <v>24</v>
      </c>
      <c r="K108" s="115">
        <v>600</v>
      </c>
      <c r="L108" s="115"/>
      <c r="M108" s="129">
        <f>10*3</f>
        <v>30</v>
      </c>
      <c r="N108" s="115"/>
      <c r="O108" s="115">
        <v>34</v>
      </c>
      <c r="P108" s="124">
        <f t="shared" si="32"/>
        <v>30</v>
      </c>
      <c r="Q108" s="117">
        <v>2</v>
      </c>
      <c r="R108" s="115"/>
      <c r="S108" s="142"/>
      <c r="T108" s="115"/>
      <c r="U108" s="118">
        <v>0.05</v>
      </c>
      <c r="V108" s="118">
        <v>0.9</v>
      </c>
      <c r="W108" s="118">
        <v>0.5</v>
      </c>
      <c r="X108" s="115">
        <v>10</v>
      </c>
      <c r="Y108" s="119">
        <v>2.9</v>
      </c>
      <c r="Z108" s="125">
        <f t="shared" si="40"/>
        <v>15</v>
      </c>
      <c r="AA108" s="126">
        <f t="shared" si="33"/>
        <v>17</v>
      </c>
      <c r="AB108" s="127">
        <f t="shared" si="34"/>
        <v>0.03</v>
      </c>
      <c r="AC108" s="126">
        <f t="shared" si="35"/>
        <v>3</v>
      </c>
      <c r="AD108" s="126">
        <f t="shared" si="36"/>
        <v>1.2</v>
      </c>
      <c r="AE108" s="126">
        <f t="shared" si="37"/>
        <v>120</v>
      </c>
      <c r="AF108" s="126">
        <f t="shared" si="38"/>
        <v>1.263157894736842</v>
      </c>
      <c r="AG108" s="128">
        <f t="shared" si="39"/>
        <v>12.000000000000002</v>
      </c>
    </row>
    <row r="109" spans="1:34" ht="15.75" customHeight="1" x14ac:dyDescent="0.35">
      <c r="A109" s="63" t="s">
        <v>80</v>
      </c>
      <c r="B109" s="64" t="s">
        <v>77</v>
      </c>
      <c r="C109" s="65" t="s">
        <v>227</v>
      </c>
      <c r="D109" s="115">
        <v>75</v>
      </c>
      <c r="E109" s="115"/>
      <c r="F109" s="115">
        <v>175</v>
      </c>
      <c r="G109" s="115">
        <v>2</v>
      </c>
      <c r="H109" s="124">
        <f t="shared" si="31"/>
        <v>250</v>
      </c>
      <c r="I109" s="115">
        <v>3</v>
      </c>
      <c r="J109" s="117">
        <v>20</v>
      </c>
      <c r="K109" s="115">
        <v>358</v>
      </c>
      <c r="L109" s="115">
        <v>13.2</v>
      </c>
      <c r="M109" s="115"/>
      <c r="N109" s="115"/>
      <c r="O109" s="115"/>
      <c r="P109" s="124">
        <f t="shared" si="32"/>
        <v>13.2</v>
      </c>
      <c r="Q109" s="117">
        <v>1.2</v>
      </c>
      <c r="R109" s="115" t="s">
        <v>212</v>
      </c>
      <c r="S109" s="142"/>
      <c r="T109" s="115"/>
      <c r="U109" s="118">
        <v>0.25</v>
      </c>
      <c r="V109" s="118">
        <v>0.3</v>
      </c>
      <c r="W109" s="118">
        <v>0.99</v>
      </c>
      <c r="X109" s="115"/>
      <c r="Y109" s="119">
        <v>4.8</v>
      </c>
      <c r="Z109" s="125">
        <f t="shared" si="40"/>
        <v>11</v>
      </c>
      <c r="AA109" s="126">
        <f t="shared" si="33"/>
        <v>0</v>
      </c>
      <c r="AB109" s="127">
        <f t="shared" si="34"/>
        <v>4.3999999999999997E-2</v>
      </c>
      <c r="AC109" s="126">
        <f t="shared" si="35"/>
        <v>3.6666666666666665</v>
      </c>
      <c r="AD109" s="126">
        <f t="shared" si="36"/>
        <v>1.4319999999999999</v>
      </c>
      <c r="AE109" s="126">
        <f t="shared" si="37"/>
        <v>119.33333333333333</v>
      </c>
      <c r="AF109" s="126">
        <f t="shared" si="38"/>
        <v>1.9093333333333333</v>
      </c>
      <c r="AG109" s="128">
        <f t="shared" si="39"/>
        <v>2.0457142857142858</v>
      </c>
    </row>
    <row r="110" spans="1:34" ht="15.75" customHeight="1" x14ac:dyDescent="0.35">
      <c r="A110" s="66" t="s">
        <v>49</v>
      </c>
      <c r="B110" s="67" t="s">
        <v>77</v>
      </c>
      <c r="C110" s="68" t="s">
        <v>228</v>
      </c>
      <c r="D110" s="115">
        <v>40</v>
      </c>
      <c r="E110" s="115"/>
      <c r="F110" s="115">
        <v>80</v>
      </c>
      <c r="G110" s="115"/>
      <c r="H110" s="124">
        <f t="shared" si="31"/>
        <v>120</v>
      </c>
      <c r="I110" s="115">
        <v>3</v>
      </c>
      <c r="J110" s="117">
        <v>16</v>
      </c>
      <c r="K110" s="115">
        <v>150</v>
      </c>
      <c r="L110" s="115">
        <v>10</v>
      </c>
      <c r="M110" s="115"/>
      <c r="N110" s="115"/>
      <c r="O110" s="115"/>
      <c r="P110" s="124">
        <f t="shared" si="32"/>
        <v>10</v>
      </c>
      <c r="Q110" s="117">
        <v>1</v>
      </c>
      <c r="R110" s="115" t="s">
        <v>176</v>
      </c>
      <c r="S110" s="142"/>
      <c r="T110" s="115"/>
      <c r="U110" s="118">
        <v>0.1</v>
      </c>
      <c r="V110" s="118">
        <v>0.4</v>
      </c>
      <c r="W110" s="118">
        <v>0.99</v>
      </c>
      <c r="X110" s="115"/>
      <c r="Y110" s="119">
        <v>5.5</v>
      </c>
      <c r="Z110" s="125">
        <f t="shared" si="40"/>
        <v>10</v>
      </c>
      <c r="AA110" s="126">
        <f t="shared" si="33"/>
        <v>0</v>
      </c>
      <c r="AB110" s="127">
        <f t="shared" si="34"/>
        <v>8.3333333333333329E-2</v>
      </c>
      <c r="AC110" s="126">
        <f t="shared" si="35"/>
        <v>3.3333333333333335</v>
      </c>
      <c r="AD110" s="126">
        <f t="shared" si="36"/>
        <v>1.25</v>
      </c>
      <c r="AE110" s="126">
        <f t="shared" si="37"/>
        <v>50</v>
      </c>
      <c r="AF110" s="126">
        <f t="shared" si="38"/>
        <v>1.3888888888888888</v>
      </c>
      <c r="AG110" s="128">
        <f t="shared" si="39"/>
        <v>2.0833333333333335</v>
      </c>
    </row>
    <row r="111" spans="1:34" ht="15.75" customHeight="1" x14ac:dyDescent="0.35">
      <c r="A111" s="61" t="s">
        <v>49</v>
      </c>
      <c r="B111" s="48" t="s">
        <v>50</v>
      </c>
      <c r="C111" s="62" t="s">
        <v>229</v>
      </c>
      <c r="D111" s="115">
        <v>50</v>
      </c>
      <c r="E111" s="115"/>
      <c r="F111" s="115">
        <v>70</v>
      </c>
      <c r="G111" s="115"/>
      <c r="H111" s="124">
        <f t="shared" si="31"/>
        <v>120</v>
      </c>
      <c r="I111" s="115">
        <v>3</v>
      </c>
      <c r="J111" s="117">
        <v>8</v>
      </c>
      <c r="K111" s="115">
        <v>149</v>
      </c>
      <c r="L111" s="115">
        <v>8.8000000000000007</v>
      </c>
      <c r="M111" s="115"/>
      <c r="N111" s="115"/>
      <c r="O111" s="115"/>
      <c r="P111" s="124">
        <f t="shared" si="32"/>
        <v>8.8000000000000007</v>
      </c>
      <c r="Q111" s="117">
        <v>1</v>
      </c>
      <c r="R111" s="115" t="s">
        <v>230</v>
      </c>
      <c r="S111" s="142"/>
      <c r="T111" s="115"/>
      <c r="U111" s="118">
        <v>0.15</v>
      </c>
      <c r="V111" s="118">
        <v>0.35</v>
      </c>
      <c r="W111" s="118">
        <v>0.99</v>
      </c>
      <c r="X111" s="115"/>
      <c r="Y111" s="119">
        <v>6</v>
      </c>
      <c r="Z111" s="125">
        <f t="shared" si="40"/>
        <v>8.8000000000000007</v>
      </c>
      <c r="AA111" s="126">
        <f t="shared" si="33"/>
        <v>0</v>
      </c>
      <c r="AB111" s="127">
        <f t="shared" si="34"/>
        <v>7.3333333333333334E-2</v>
      </c>
      <c r="AC111" s="126">
        <f t="shared" si="35"/>
        <v>2.9333333333333336</v>
      </c>
      <c r="AD111" s="126">
        <f t="shared" si="36"/>
        <v>1.2416666666666667</v>
      </c>
      <c r="AE111" s="126">
        <f t="shared" si="37"/>
        <v>49.666666666666664</v>
      </c>
      <c r="AF111" s="126">
        <f t="shared" si="38"/>
        <v>1.4607843137254903</v>
      </c>
      <c r="AG111" s="128">
        <f t="shared" si="39"/>
        <v>1.9102564102564101</v>
      </c>
    </row>
    <row r="112" spans="1:34" ht="15.75" customHeight="1" x14ac:dyDescent="0.35">
      <c r="A112" s="61" t="s">
        <v>139</v>
      </c>
      <c r="B112" s="48" t="s">
        <v>77</v>
      </c>
      <c r="C112" s="62" t="s">
        <v>231</v>
      </c>
      <c r="D112" s="115"/>
      <c r="E112" s="115"/>
      <c r="F112" s="115"/>
      <c r="G112" s="115"/>
      <c r="H112" s="124">
        <f t="shared" si="31"/>
        <v>0</v>
      </c>
      <c r="I112" s="115"/>
      <c r="J112" s="117"/>
      <c r="K112" s="115"/>
      <c r="L112" s="115"/>
      <c r="M112" s="115"/>
      <c r="N112" s="115"/>
      <c r="O112" s="115"/>
      <c r="P112" s="124">
        <f t="shared" si="32"/>
        <v>0</v>
      </c>
      <c r="Q112" s="117"/>
      <c r="R112" s="115"/>
      <c r="S112" s="142"/>
      <c r="T112" s="115"/>
      <c r="U112" s="118">
        <v>0.1</v>
      </c>
      <c r="V112" s="118">
        <v>0.7</v>
      </c>
      <c r="W112" s="118">
        <v>0.8</v>
      </c>
      <c r="X112" s="115"/>
      <c r="Y112" s="119">
        <v>6.6</v>
      </c>
      <c r="Z112" s="125">
        <f t="shared" si="40"/>
        <v>0</v>
      </c>
      <c r="AA112" s="126">
        <f t="shared" si="33"/>
        <v>0</v>
      </c>
      <c r="AB112" s="127">
        <f t="shared" si="34"/>
        <v>0</v>
      </c>
      <c r="AC112" s="126">
        <f t="shared" si="35"/>
        <v>0</v>
      </c>
      <c r="AD112" s="126">
        <f t="shared" si="36"/>
        <v>0</v>
      </c>
      <c r="AE112" s="126">
        <f t="shared" si="37"/>
        <v>0</v>
      </c>
      <c r="AF112" s="126">
        <f t="shared" si="38"/>
        <v>0</v>
      </c>
      <c r="AG112" s="128">
        <f t="shared" si="39"/>
        <v>0</v>
      </c>
    </row>
    <row r="113" spans="1:34" ht="15.75" customHeight="1" x14ac:dyDescent="0.35">
      <c r="A113" s="61" t="s">
        <v>80</v>
      </c>
      <c r="B113" s="48" t="s">
        <v>77</v>
      </c>
      <c r="C113" s="62" t="s">
        <v>232</v>
      </c>
      <c r="D113" s="115"/>
      <c r="E113" s="115">
        <v>250</v>
      </c>
      <c r="F113" s="115">
        <v>100</v>
      </c>
      <c r="G113" s="115">
        <v>4</v>
      </c>
      <c r="H113" s="124">
        <f t="shared" si="31"/>
        <v>350</v>
      </c>
      <c r="I113" s="115">
        <v>2</v>
      </c>
      <c r="J113" s="117">
        <v>20</v>
      </c>
      <c r="K113" s="115">
        <v>358</v>
      </c>
      <c r="L113" s="115"/>
      <c r="M113" s="115">
        <v>14.3</v>
      </c>
      <c r="N113" s="115"/>
      <c r="O113" s="115"/>
      <c r="P113" s="124">
        <f t="shared" si="32"/>
        <v>14.3</v>
      </c>
      <c r="Q113" s="117">
        <v>1.7</v>
      </c>
      <c r="R113" s="115" t="s">
        <v>212</v>
      </c>
      <c r="S113" s="142"/>
      <c r="T113" s="115"/>
      <c r="U113" s="118">
        <v>0.25</v>
      </c>
      <c r="V113" s="118">
        <v>0.35</v>
      </c>
      <c r="W113" s="118">
        <v>0.99</v>
      </c>
      <c r="X113" s="115">
        <v>20</v>
      </c>
      <c r="Y113" s="119">
        <v>4.3</v>
      </c>
      <c r="Z113" s="125">
        <f t="shared" si="40"/>
        <v>8.4117647058823533</v>
      </c>
      <c r="AA113" s="126">
        <f t="shared" si="33"/>
        <v>0</v>
      </c>
      <c r="AB113" s="127">
        <f t="shared" si="34"/>
        <v>2.4033613445378153E-2</v>
      </c>
      <c r="AC113" s="126">
        <f t="shared" si="35"/>
        <v>4.2058823529411766</v>
      </c>
      <c r="AD113" s="126">
        <f t="shared" si="36"/>
        <v>1.0228571428571429</v>
      </c>
      <c r="AE113" s="126">
        <f t="shared" si="37"/>
        <v>179</v>
      </c>
      <c r="AF113" s="126">
        <f t="shared" si="38"/>
        <v>1.3638095238095238</v>
      </c>
      <c r="AG113" s="128">
        <f t="shared" si="39"/>
        <v>1.5736263736263736</v>
      </c>
    </row>
    <row r="114" spans="1:34" ht="15.75" customHeight="1" x14ac:dyDescent="0.35">
      <c r="A114" s="61" t="s">
        <v>49</v>
      </c>
      <c r="B114" s="48" t="s">
        <v>77</v>
      </c>
      <c r="C114" s="62" t="s">
        <v>233</v>
      </c>
      <c r="D114" s="115">
        <v>50</v>
      </c>
      <c r="E114" s="115"/>
      <c r="F114" s="115">
        <v>90</v>
      </c>
      <c r="G114" s="115"/>
      <c r="H114" s="124">
        <f t="shared" si="31"/>
        <v>140</v>
      </c>
      <c r="I114" s="115">
        <v>3</v>
      </c>
      <c r="J114" s="117">
        <v>20</v>
      </c>
      <c r="K114" s="115">
        <v>160</v>
      </c>
      <c r="L114" s="115">
        <v>10</v>
      </c>
      <c r="M114" s="115"/>
      <c r="N114" s="115"/>
      <c r="O114" s="115"/>
      <c r="P114" s="124">
        <f t="shared" si="32"/>
        <v>10</v>
      </c>
      <c r="Q114" s="117">
        <v>1</v>
      </c>
      <c r="R114" s="115" t="s">
        <v>234</v>
      </c>
      <c r="S114" s="142"/>
      <c r="T114" s="115"/>
      <c r="U114" s="118">
        <v>0.05</v>
      </c>
      <c r="V114" s="118">
        <v>0.4</v>
      </c>
      <c r="W114" s="118">
        <v>0.99</v>
      </c>
      <c r="X114" s="115"/>
      <c r="Y114" s="119">
        <v>5</v>
      </c>
      <c r="Z114" s="125">
        <f t="shared" si="40"/>
        <v>10</v>
      </c>
      <c r="AA114" s="126">
        <f t="shared" si="33"/>
        <v>0</v>
      </c>
      <c r="AB114" s="127">
        <f t="shared" si="34"/>
        <v>7.1428571428571425E-2</v>
      </c>
      <c r="AC114" s="126">
        <f t="shared" si="35"/>
        <v>3.3333333333333335</v>
      </c>
      <c r="AD114" s="126">
        <f t="shared" si="36"/>
        <v>1.1428571428571428</v>
      </c>
      <c r="AE114" s="126">
        <f t="shared" si="37"/>
        <v>53.333333333333336</v>
      </c>
      <c r="AF114" s="126">
        <f t="shared" si="38"/>
        <v>1.2030075187969926</v>
      </c>
      <c r="AG114" s="128">
        <f t="shared" si="39"/>
        <v>1.9047619047619049</v>
      </c>
    </row>
    <row r="115" spans="1:34" ht="15.75" customHeight="1" x14ac:dyDescent="0.35">
      <c r="A115" s="61" t="s">
        <v>56</v>
      </c>
      <c r="B115" s="48" t="s">
        <v>77</v>
      </c>
      <c r="C115" s="62" t="s">
        <v>235</v>
      </c>
      <c r="D115" s="115">
        <v>250</v>
      </c>
      <c r="E115" s="115"/>
      <c r="F115" s="115"/>
      <c r="G115" s="115">
        <v>28</v>
      </c>
      <c r="H115" s="124">
        <f t="shared" si="31"/>
        <v>250</v>
      </c>
      <c r="I115" s="115">
        <v>4</v>
      </c>
      <c r="J115" s="117">
        <v>20</v>
      </c>
      <c r="K115" s="115">
        <v>800</v>
      </c>
      <c r="L115" s="115">
        <v>30</v>
      </c>
      <c r="M115" s="115"/>
      <c r="N115" s="115"/>
      <c r="O115" s="115">
        <v>15</v>
      </c>
      <c r="P115" s="124">
        <f t="shared" si="32"/>
        <v>30</v>
      </c>
      <c r="Q115" s="117">
        <v>1.5</v>
      </c>
      <c r="R115" s="115" t="s">
        <v>65</v>
      </c>
      <c r="S115" s="142" t="s">
        <v>119</v>
      </c>
      <c r="T115" s="115"/>
      <c r="U115" s="118">
        <v>0.6</v>
      </c>
      <c r="V115" s="118">
        <v>0.5</v>
      </c>
      <c r="W115" s="118">
        <v>0.8</v>
      </c>
      <c r="X115" s="115">
        <v>2</v>
      </c>
      <c r="Y115" s="119">
        <v>4</v>
      </c>
      <c r="Z115" s="125">
        <f t="shared" si="40"/>
        <v>20</v>
      </c>
      <c r="AA115" s="126">
        <f t="shared" si="33"/>
        <v>10</v>
      </c>
      <c r="AB115" s="127">
        <f t="shared" si="34"/>
        <v>0.08</v>
      </c>
      <c r="AC115" s="126">
        <f t="shared" si="35"/>
        <v>5</v>
      </c>
      <c r="AD115" s="126">
        <f t="shared" si="36"/>
        <v>3.2</v>
      </c>
      <c r="AE115" s="126">
        <f t="shared" si="37"/>
        <v>200</v>
      </c>
      <c r="AF115" s="126">
        <f t="shared" si="38"/>
        <v>8</v>
      </c>
      <c r="AG115" s="128">
        <f t="shared" si="39"/>
        <v>6.4</v>
      </c>
    </row>
    <row r="116" spans="1:34" ht="15.75" customHeight="1" x14ac:dyDescent="0.35">
      <c r="A116" s="61" t="s">
        <v>53</v>
      </c>
      <c r="B116" s="48" t="s">
        <v>101</v>
      </c>
      <c r="C116" s="62" t="s">
        <v>236</v>
      </c>
      <c r="D116" s="115"/>
      <c r="E116" s="115">
        <v>75</v>
      </c>
      <c r="F116" s="115">
        <v>40</v>
      </c>
      <c r="G116" s="115"/>
      <c r="H116" s="124">
        <f t="shared" si="31"/>
        <v>115</v>
      </c>
      <c r="I116" s="115">
        <v>2</v>
      </c>
      <c r="J116" s="117">
        <v>10</v>
      </c>
      <c r="K116" s="115">
        <v>115</v>
      </c>
      <c r="L116" s="115">
        <v>7</v>
      </c>
      <c r="M116" s="115"/>
      <c r="N116" s="115"/>
      <c r="O116" s="115"/>
      <c r="P116" s="124">
        <f t="shared" si="32"/>
        <v>7</v>
      </c>
      <c r="Q116" s="117">
        <v>1</v>
      </c>
      <c r="R116" s="115" t="s">
        <v>237</v>
      </c>
      <c r="S116" s="142"/>
      <c r="T116" s="115"/>
      <c r="U116" s="118">
        <v>0.1</v>
      </c>
      <c r="V116" s="118">
        <v>0.6</v>
      </c>
      <c r="W116" s="118">
        <v>0.99</v>
      </c>
      <c r="X116" s="115"/>
      <c r="Y116" s="119">
        <v>5</v>
      </c>
      <c r="Z116" s="125">
        <f t="shared" si="40"/>
        <v>7</v>
      </c>
      <c r="AA116" s="126">
        <f t="shared" si="33"/>
        <v>0</v>
      </c>
      <c r="AB116" s="127">
        <f t="shared" si="34"/>
        <v>6.0869565217391307E-2</v>
      </c>
      <c r="AC116" s="126">
        <f t="shared" si="35"/>
        <v>3.5</v>
      </c>
      <c r="AD116" s="126">
        <f t="shared" si="36"/>
        <v>1</v>
      </c>
      <c r="AE116" s="126">
        <f t="shared" si="37"/>
        <v>57.5</v>
      </c>
      <c r="AF116" s="126">
        <f t="shared" si="38"/>
        <v>1.1111111111111112</v>
      </c>
      <c r="AG116" s="128">
        <f t="shared" si="39"/>
        <v>2.5</v>
      </c>
    </row>
    <row r="117" spans="1:34" ht="15.75" customHeight="1" x14ac:dyDescent="0.35">
      <c r="A117" s="63" t="s">
        <v>80</v>
      </c>
      <c r="B117" s="64" t="s">
        <v>77</v>
      </c>
      <c r="C117" s="65" t="s">
        <v>238</v>
      </c>
      <c r="D117" s="115">
        <v>100</v>
      </c>
      <c r="E117" s="115">
        <v>50</v>
      </c>
      <c r="F117" s="115"/>
      <c r="G117" s="115"/>
      <c r="H117" s="124">
        <f t="shared" si="31"/>
        <v>150</v>
      </c>
      <c r="I117" s="115">
        <v>2</v>
      </c>
      <c r="J117" s="117">
        <v>5</v>
      </c>
      <c r="K117" s="115">
        <v>220</v>
      </c>
      <c r="L117" s="115">
        <v>9.9</v>
      </c>
      <c r="M117" s="115"/>
      <c r="N117" s="115"/>
      <c r="O117" s="115"/>
      <c r="P117" s="124">
        <f t="shared" si="32"/>
        <v>9.9</v>
      </c>
      <c r="Q117" s="117">
        <v>1.5</v>
      </c>
      <c r="R117" s="115" t="s">
        <v>214</v>
      </c>
      <c r="S117" s="142"/>
      <c r="T117" s="115"/>
      <c r="U117" s="118">
        <v>0.35</v>
      </c>
      <c r="V117" s="118">
        <v>0.35</v>
      </c>
      <c r="W117" s="118">
        <v>0.99</v>
      </c>
      <c r="X117" s="115"/>
      <c r="Y117" s="119">
        <v>4.3</v>
      </c>
      <c r="Z117" s="125">
        <f t="shared" si="40"/>
        <v>6.6000000000000005</v>
      </c>
      <c r="AA117" s="126">
        <f t="shared" si="33"/>
        <v>0</v>
      </c>
      <c r="AB117" s="127">
        <f t="shared" si="34"/>
        <v>4.4000000000000004E-2</v>
      </c>
      <c r="AC117" s="126">
        <f t="shared" si="35"/>
        <v>3.3000000000000003</v>
      </c>
      <c r="AD117" s="126">
        <f t="shared" si="36"/>
        <v>1.4666666666666666</v>
      </c>
      <c r="AE117" s="126">
        <f t="shared" si="37"/>
        <v>110</v>
      </c>
      <c r="AF117" s="126">
        <f t="shared" si="38"/>
        <v>2.2564102564102564</v>
      </c>
      <c r="AG117" s="128">
        <f t="shared" si="39"/>
        <v>2.2564102564102564</v>
      </c>
    </row>
    <row r="118" spans="1:34" ht="15.75" customHeight="1" x14ac:dyDescent="0.35">
      <c r="A118" s="61" t="s">
        <v>204</v>
      </c>
      <c r="B118" s="48" t="s">
        <v>77</v>
      </c>
      <c r="C118" s="62" t="s">
        <v>239</v>
      </c>
      <c r="D118" s="115"/>
      <c r="E118" s="115">
        <v>100</v>
      </c>
      <c r="F118" s="115">
        <v>50</v>
      </c>
      <c r="G118" s="115"/>
      <c r="H118" s="124">
        <f t="shared" si="31"/>
        <v>150</v>
      </c>
      <c r="I118" s="115">
        <v>3</v>
      </c>
      <c r="J118" s="117">
        <v>17</v>
      </c>
      <c r="K118" s="115">
        <v>275</v>
      </c>
      <c r="L118" s="115"/>
      <c r="M118" s="129">
        <f>2*4</f>
        <v>8</v>
      </c>
      <c r="N118" s="115"/>
      <c r="O118" s="115">
        <v>4</v>
      </c>
      <c r="P118" s="124">
        <f t="shared" si="32"/>
        <v>8</v>
      </c>
      <c r="Q118" s="117">
        <v>2</v>
      </c>
      <c r="R118" s="115" t="s">
        <v>240</v>
      </c>
      <c r="S118" s="142"/>
      <c r="T118" s="115"/>
      <c r="U118" s="118">
        <v>0.1</v>
      </c>
      <c r="V118" s="118">
        <v>0.6</v>
      </c>
      <c r="W118" s="118">
        <v>0.1</v>
      </c>
      <c r="X118" s="115">
        <v>20</v>
      </c>
      <c r="Y118" s="119">
        <v>4.8</v>
      </c>
      <c r="Z118" s="125">
        <f t="shared" si="40"/>
        <v>4</v>
      </c>
      <c r="AA118" s="126">
        <f t="shared" si="33"/>
        <v>2</v>
      </c>
      <c r="AB118" s="127">
        <f t="shared" si="34"/>
        <v>2.6666666666666668E-2</v>
      </c>
      <c r="AC118" s="126">
        <f t="shared" si="35"/>
        <v>1.3333333333333333</v>
      </c>
      <c r="AD118" s="126">
        <f t="shared" si="36"/>
        <v>1.8333333333333333</v>
      </c>
      <c r="AE118" s="126">
        <f t="shared" si="37"/>
        <v>91.666666666666671</v>
      </c>
      <c r="AF118" s="126">
        <f t="shared" si="38"/>
        <v>2.0370370370370368</v>
      </c>
      <c r="AG118" s="128">
        <f t="shared" si="39"/>
        <v>4.583333333333333</v>
      </c>
    </row>
    <row r="119" spans="1:34" ht="15.75" customHeight="1" x14ac:dyDescent="0.35">
      <c r="A119" s="61" t="s">
        <v>241</v>
      </c>
      <c r="B119" s="48" t="s">
        <v>54</v>
      </c>
      <c r="C119" s="62" t="s">
        <v>242</v>
      </c>
      <c r="D119" s="115"/>
      <c r="E119" s="115">
        <v>45</v>
      </c>
      <c r="F119" s="115">
        <v>40</v>
      </c>
      <c r="G119" s="115"/>
      <c r="H119" s="124">
        <f t="shared" si="31"/>
        <v>85</v>
      </c>
      <c r="I119" s="115">
        <v>2</v>
      </c>
      <c r="J119" s="117">
        <v>10</v>
      </c>
      <c r="K119" s="115">
        <v>80</v>
      </c>
      <c r="L119" s="115"/>
      <c r="M119" s="115">
        <v>5.5</v>
      </c>
      <c r="N119" s="115"/>
      <c r="O119" s="115"/>
      <c r="P119" s="124">
        <f t="shared" si="32"/>
        <v>5.5</v>
      </c>
      <c r="Q119" s="117">
        <v>1.8</v>
      </c>
      <c r="R119" s="115" t="s">
        <v>243</v>
      </c>
      <c r="S119" s="142"/>
      <c r="T119" s="115"/>
      <c r="U119" s="118">
        <v>0.15</v>
      </c>
      <c r="V119" s="118">
        <v>0.4</v>
      </c>
      <c r="W119" s="118">
        <v>0.99</v>
      </c>
      <c r="X119" s="115">
        <v>12</v>
      </c>
      <c r="Y119" s="119">
        <v>5.5</v>
      </c>
      <c r="Z119" s="125">
        <f t="shared" si="40"/>
        <v>3.0555555555555554</v>
      </c>
      <c r="AA119" s="126">
        <f t="shared" si="33"/>
        <v>0</v>
      </c>
      <c r="AB119" s="127">
        <f t="shared" si="34"/>
        <v>3.5947712418300651E-2</v>
      </c>
      <c r="AC119" s="126">
        <f t="shared" si="35"/>
        <v>1.5277777777777777</v>
      </c>
      <c r="AD119" s="126">
        <f t="shared" si="36"/>
        <v>0.94117647058823528</v>
      </c>
      <c r="AE119" s="126">
        <f t="shared" si="37"/>
        <v>40</v>
      </c>
      <c r="AF119" s="126">
        <f t="shared" si="38"/>
        <v>1.1072664359861593</v>
      </c>
      <c r="AG119" s="128">
        <f t="shared" si="39"/>
        <v>1.5686274509803924</v>
      </c>
    </row>
    <row r="120" spans="1:34" ht="15.75" customHeight="1" x14ac:dyDescent="0.35">
      <c r="A120" s="61" t="s">
        <v>56</v>
      </c>
      <c r="B120" s="48" t="s">
        <v>77</v>
      </c>
      <c r="C120" s="62" t="s">
        <v>244</v>
      </c>
      <c r="D120" s="115"/>
      <c r="E120" s="115">
        <v>300</v>
      </c>
      <c r="F120" s="115"/>
      <c r="G120" s="115">
        <v>25</v>
      </c>
      <c r="H120" s="124">
        <f t="shared" si="31"/>
        <v>300</v>
      </c>
      <c r="I120" s="115">
        <v>4</v>
      </c>
      <c r="J120" s="117">
        <v>17</v>
      </c>
      <c r="K120" s="115">
        <v>420</v>
      </c>
      <c r="L120" s="115"/>
      <c r="M120" s="129">
        <f>11*3</f>
        <v>33</v>
      </c>
      <c r="N120" s="115"/>
      <c r="O120" s="115"/>
      <c r="P120" s="124">
        <f t="shared" si="32"/>
        <v>33</v>
      </c>
      <c r="Q120" s="117">
        <v>1</v>
      </c>
      <c r="R120" s="115" t="s">
        <v>65</v>
      </c>
      <c r="S120" s="142" t="s">
        <v>111</v>
      </c>
      <c r="T120" s="115"/>
      <c r="U120" s="118">
        <v>0.3</v>
      </c>
      <c r="V120" s="118">
        <v>0.6</v>
      </c>
      <c r="W120" s="118">
        <v>0.8</v>
      </c>
      <c r="X120" s="115">
        <v>16</v>
      </c>
      <c r="Y120" s="119">
        <v>5</v>
      </c>
      <c r="Z120" s="125">
        <f t="shared" si="40"/>
        <v>33</v>
      </c>
      <c r="AA120" s="126">
        <f t="shared" si="33"/>
        <v>0</v>
      </c>
      <c r="AB120" s="127">
        <f t="shared" si="34"/>
        <v>0.11</v>
      </c>
      <c r="AC120" s="126">
        <f t="shared" si="35"/>
        <v>8.25</v>
      </c>
      <c r="AD120" s="126">
        <f t="shared" si="36"/>
        <v>1.4</v>
      </c>
      <c r="AE120" s="126">
        <f t="shared" si="37"/>
        <v>105</v>
      </c>
      <c r="AF120" s="126">
        <f t="shared" si="38"/>
        <v>2</v>
      </c>
      <c r="AG120" s="128">
        <f t="shared" si="39"/>
        <v>3.5</v>
      </c>
    </row>
    <row r="121" spans="1:34" ht="15.75" customHeight="1" x14ac:dyDescent="0.35">
      <c r="A121" s="61" t="s">
        <v>56</v>
      </c>
      <c r="B121" s="48" t="s">
        <v>77</v>
      </c>
      <c r="C121" s="62" t="s">
        <v>245</v>
      </c>
      <c r="D121" s="115"/>
      <c r="E121" s="115">
        <v>250</v>
      </c>
      <c r="F121" s="115"/>
      <c r="G121" s="115">
        <v>24</v>
      </c>
      <c r="H121" s="124">
        <f t="shared" si="31"/>
        <v>250</v>
      </c>
      <c r="I121" s="115">
        <v>4</v>
      </c>
      <c r="J121" s="117">
        <v>20</v>
      </c>
      <c r="K121" s="115">
        <v>500</v>
      </c>
      <c r="L121" s="115"/>
      <c r="M121" s="115">
        <v>35</v>
      </c>
      <c r="N121" s="115"/>
      <c r="O121" s="115">
        <v>5</v>
      </c>
      <c r="P121" s="124">
        <f t="shared" si="32"/>
        <v>35</v>
      </c>
      <c r="Q121" s="117">
        <v>1.7</v>
      </c>
      <c r="R121" s="115" t="s">
        <v>65</v>
      </c>
      <c r="S121" s="142" t="s">
        <v>111</v>
      </c>
      <c r="T121" s="115"/>
      <c r="U121" s="118">
        <v>0.6</v>
      </c>
      <c r="V121" s="118">
        <v>0.7</v>
      </c>
      <c r="W121" s="118">
        <v>0.8</v>
      </c>
      <c r="X121" s="115">
        <v>16</v>
      </c>
      <c r="Y121" s="119">
        <v>4.3</v>
      </c>
      <c r="Z121" s="125">
        <f t="shared" si="40"/>
        <v>20.588235294117649</v>
      </c>
      <c r="AA121" s="126">
        <f t="shared" si="33"/>
        <v>2.9411764705882355</v>
      </c>
      <c r="AB121" s="127">
        <f t="shared" si="34"/>
        <v>8.2352941176470601E-2</v>
      </c>
      <c r="AC121" s="126">
        <f t="shared" si="35"/>
        <v>5.1470588235294121</v>
      </c>
      <c r="AD121" s="126">
        <f t="shared" si="36"/>
        <v>2</v>
      </c>
      <c r="AE121" s="126">
        <f t="shared" si="37"/>
        <v>125</v>
      </c>
      <c r="AF121" s="126">
        <f t="shared" si="38"/>
        <v>5</v>
      </c>
      <c r="AG121" s="128">
        <f t="shared" si="39"/>
        <v>6.6666666666666661</v>
      </c>
    </row>
    <row r="122" spans="1:34" ht="15.75" customHeight="1" x14ac:dyDescent="0.35">
      <c r="A122" s="61" t="s">
        <v>49</v>
      </c>
      <c r="B122" s="48" t="s">
        <v>77</v>
      </c>
      <c r="C122" s="62" t="s">
        <v>246</v>
      </c>
      <c r="D122" s="115">
        <v>75</v>
      </c>
      <c r="E122" s="115"/>
      <c r="F122" s="115"/>
      <c r="G122" s="115"/>
      <c r="H122" s="124">
        <f t="shared" si="31"/>
        <v>75</v>
      </c>
      <c r="I122" s="115">
        <v>1</v>
      </c>
      <c r="J122" s="117"/>
      <c r="K122" s="115">
        <v>70</v>
      </c>
      <c r="L122" s="115">
        <v>1</v>
      </c>
      <c r="M122" s="115"/>
      <c r="N122" s="115"/>
      <c r="O122" s="115"/>
      <c r="P122" s="124">
        <f t="shared" si="32"/>
        <v>1</v>
      </c>
      <c r="Q122" s="117">
        <v>1.1000000000000001</v>
      </c>
      <c r="R122" s="115"/>
      <c r="S122" s="142"/>
      <c r="T122" s="115"/>
      <c r="U122" s="118">
        <v>0.1</v>
      </c>
      <c r="V122" s="118">
        <v>0.7</v>
      </c>
      <c r="W122" s="118">
        <v>0.99</v>
      </c>
      <c r="X122" s="115"/>
      <c r="Y122" s="119">
        <v>5.9</v>
      </c>
      <c r="Z122" s="125">
        <f t="shared" si="40"/>
        <v>0.90909090909090906</v>
      </c>
      <c r="AA122" s="126">
        <f t="shared" si="33"/>
        <v>0</v>
      </c>
      <c r="AB122" s="127">
        <f t="shared" si="34"/>
        <v>1.2121212121212121E-2</v>
      </c>
      <c r="AC122" s="126">
        <f t="shared" si="35"/>
        <v>0.90909090909090906</v>
      </c>
      <c r="AD122" s="126">
        <f t="shared" si="36"/>
        <v>0.93333333333333335</v>
      </c>
      <c r="AE122" s="126">
        <f t="shared" si="37"/>
        <v>70</v>
      </c>
      <c r="AF122" s="126">
        <f t="shared" si="38"/>
        <v>1.037037037037037</v>
      </c>
      <c r="AG122" s="128">
        <f t="shared" si="39"/>
        <v>3.1111111111111103</v>
      </c>
    </row>
    <row r="123" spans="1:34" ht="15.75" customHeight="1" x14ac:dyDescent="0.35">
      <c r="A123" s="61" t="s">
        <v>56</v>
      </c>
      <c r="B123" s="48" t="s">
        <v>77</v>
      </c>
      <c r="C123" s="62" t="s">
        <v>247</v>
      </c>
      <c r="D123" s="115"/>
      <c r="E123" s="115"/>
      <c r="F123" s="115">
        <v>180</v>
      </c>
      <c r="G123" s="115">
        <v>15</v>
      </c>
      <c r="H123" s="124">
        <f t="shared" si="31"/>
        <v>180</v>
      </c>
      <c r="I123" s="115">
        <v>3</v>
      </c>
      <c r="J123" s="117">
        <v>20</v>
      </c>
      <c r="K123" s="115">
        <v>320</v>
      </c>
      <c r="L123" s="115">
        <v>17</v>
      </c>
      <c r="M123" s="115"/>
      <c r="N123" s="115"/>
      <c r="O123" s="115"/>
      <c r="P123" s="124">
        <f t="shared" si="32"/>
        <v>17</v>
      </c>
      <c r="Q123" s="117">
        <v>1.1000000000000001</v>
      </c>
      <c r="R123" s="115" t="s">
        <v>65</v>
      </c>
      <c r="S123" s="142" t="s">
        <v>119</v>
      </c>
      <c r="T123" s="115"/>
      <c r="U123" s="118">
        <v>0.6</v>
      </c>
      <c r="V123" s="118">
        <v>0.5</v>
      </c>
      <c r="W123" s="118">
        <v>0.8</v>
      </c>
      <c r="X123" s="115"/>
      <c r="Y123" s="119">
        <v>4.5</v>
      </c>
      <c r="Z123" s="125">
        <f t="shared" si="40"/>
        <v>15.454545454545453</v>
      </c>
      <c r="AA123" s="126">
        <f t="shared" si="33"/>
        <v>0</v>
      </c>
      <c r="AB123" s="127">
        <f t="shared" si="34"/>
        <v>8.5858585858585856E-2</v>
      </c>
      <c r="AC123" s="126">
        <f t="shared" si="35"/>
        <v>5.1515151515151514</v>
      </c>
      <c r="AD123" s="126">
        <f t="shared" si="36"/>
        <v>1.7777777777777777</v>
      </c>
      <c r="AE123" s="126">
        <f t="shared" si="37"/>
        <v>106.66666666666667</v>
      </c>
      <c r="AF123" s="126">
        <f t="shared" si="38"/>
        <v>4.4444444444444446</v>
      </c>
      <c r="AG123" s="128">
        <f t="shared" si="39"/>
        <v>3.5555555555555554</v>
      </c>
    </row>
    <row r="124" spans="1:34" ht="15.75" customHeight="1" x14ac:dyDescent="0.35">
      <c r="A124" s="61" t="s">
        <v>248</v>
      </c>
      <c r="B124" s="48" t="s">
        <v>77</v>
      </c>
      <c r="C124" s="68" t="s">
        <v>249</v>
      </c>
      <c r="D124" s="115"/>
      <c r="E124" s="115">
        <v>70</v>
      </c>
      <c r="F124" s="115">
        <v>20</v>
      </c>
      <c r="G124" s="115"/>
      <c r="H124" s="124">
        <f t="shared" si="31"/>
        <v>90</v>
      </c>
      <c r="I124" s="115">
        <v>2</v>
      </c>
      <c r="J124" s="117">
        <v>10</v>
      </c>
      <c r="K124" s="115">
        <v>70</v>
      </c>
      <c r="L124" s="115"/>
      <c r="M124" s="115">
        <v>5</v>
      </c>
      <c r="N124" s="115"/>
      <c r="O124" s="115"/>
      <c r="P124" s="124">
        <f t="shared" si="32"/>
        <v>5</v>
      </c>
      <c r="Q124" s="117">
        <v>1.5</v>
      </c>
      <c r="R124" s="115" t="s">
        <v>250</v>
      </c>
      <c r="S124" s="142"/>
      <c r="T124" s="115"/>
      <c r="U124" s="118">
        <v>0.15</v>
      </c>
      <c r="V124" s="118">
        <v>0.4</v>
      </c>
      <c r="W124" s="118">
        <v>0.99</v>
      </c>
      <c r="X124" s="115">
        <v>18</v>
      </c>
      <c r="Y124" s="119">
        <v>4</v>
      </c>
      <c r="Z124" s="125">
        <f t="shared" si="40"/>
        <v>3.3333333333333335</v>
      </c>
      <c r="AA124" s="126">
        <f t="shared" si="33"/>
        <v>0</v>
      </c>
      <c r="AB124" s="127">
        <f t="shared" si="34"/>
        <v>3.7037037037037042E-2</v>
      </c>
      <c r="AC124" s="126">
        <f t="shared" si="35"/>
        <v>1.6666666666666667</v>
      </c>
      <c r="AD124" s="126">
        <f t="shared" si="36"/>
        <v>0.77777777777777779</v>
      </c>
      <c r="AE124" s="126">
        <f t="shared" si="37"/>
        <v>35</v>
      </c>
      <c r="AF124" s="126">
        <f t="shared" si="38"/>
        <v>0.91503267973856217</v>
      </c>
      <c r="AG124" s="128">
        <f t="shared" si="39"/>
        <v>1.2962962962962963</v>
      </c>
    </row>
    <row r="125" spans="1:34" ht="15.75" customHeight="1" x14ac:dyDescent="0.35">
      <c r="A125" s="61" t="s">
        <v>56</v>
      </c>
      <c r="B125" s="48" t="s">
        <v>77</v>
      </c>
      <c r="C125" s="153" t="s">
        <v>251</v>
      </c>
      <c r="D125" s="115"/>
      <c r="E125" s="115"/>
      <c r="F125" s="115">
        <v>250</v>
      </c>
      <c r="G125" s="115">
        <v>22</v>
      </c>
      <c r="H125" s="124">
        <f t="shared" si="31"/>
        <v>250</v>
      </c>
      <c r="I125" s="115">
        <v>3</v>
      </c>
      <c r="J125" s="117">
        <v>20</v>
      </c>
      <c r="K125" s="115">
        <v>660</v>
      </c>
      <c r="L125" s="115">
        <v>22</v>
      </c>
      <c r="M125" s="115"/>
      <c r="N125" s="115"/>
      <c r="O125" s="115">
        <v>11</v>
      </c>
      <c r="P125" s="124">
        <f t="shared" si="32"/>
        <v>22</v>
      </c>
      <c r="Q125" s="117">
        <v>1.1000000000000001</v>
      </c>
      <c r="R125" s="115" t="s">
        <v>65</v>
      </c>
      <c r="S125" s="142" t="s">
        <v>119</v>
      </c>
      <c r="T125" s="115"/>
      <c r="U125" s="118">
        <v>0.3</v>
      </c>
      <c r="V125" s="118">
        <v>0.6</v>
      </c>
      <c r="W125" s="118">
        <v>0.8</v>
      </c>
      <c r="X125" s="115"/>
      <c r="Y125" s="119">
        <v>4.8</v>
      </c>
      <c r="Z125" s="125">
        <f t="shared" si="40"/>
        <v>20</v>
      </c>
      <c r="AA125" s="126">
        <f t="shared" si="33"/>
        <v>10</v>
      </c>
      <c r="AB125" s="127">
        <f t="shared" si="34"/>
        <v>0.08</v>
      </c>
      <c r="AC125" s="126">
        <f t="shared" si="35"/>
        <v>6.666666666666667</v>
      </c>
      <c r="AD125" s="126">
        <f t="shared" si="36"/>
        <v>2.64</v>
      </c>
      <c r="AE125" s="126">
        <f t="shared" si="37"/>
        <v>220</v>
      </c>
      <c r="AF125" s="126">
        <f t="shared" si="38"/>
        <v>3.7714285714285714</v>
      </c>
      <c r="AG125" s="128">
        <f t="shared" si="39"/>
        <v>6.6</v>
      </c>
      <c r="AH125" s="73"/>
    </row>
    <row r="126" spans="1:34" ht="15.75" customHeight="1" x14ac:dyDescent="0.35">
      <c r="A126" s="63" t="s">
        <v>80</v>
      </c>
      <c r="B126" s="64" t="s">
        <v>77</v>
      </c>
      <c r="C126" s="65" t="s">
        <v>252</v>
      </c>
      <c r="D126" s="115"/>
      <c r="E126" s="115">
        <v>250</v>
      </c>
      <c r="F126" s="115">
        <v>100</v>
      </c>
      <c r="G126" s="115">
        <v>4</v>
      </c>
      <c r="H126" s="124">
        <f t="shared" si="31"/>
        <v>350</v>
      </c>
      <c r="I126" s="115">
        <v>2</v>
      </c>
      <c r="J126" s="117">
        <v>25</v>
      </c>
      <c r="K126" s="115">
        <v>385</v>
      </c>
      <c r="L126" s="115"/>
      <c r="M126" s="115">
        <v>11</v>
      </c>
      <c r="N126" s="115"/>
      <c r="O126" s="115"/>
      <c r="P126" s="124">
        <f t="shared" si="32"/>
        <v>11</v>
      </c>
      <c r="Q126" s="117">
        <v>1.2</v>
      </c>
      <c r="R126" s="115" t="s">
        <v>212</v>
      </c>
      <c r="S126" s="142"/>
      <c r="T126" s="115"/>
      <c r="U126" s="118">
        <v>0.25</v>
      </c>
      <c r="V126" s="118">
        <v>0.35</v>
      </c>
      <c r="W126" s="118">
        <v>0.99</v>
      </c>
      <c r="X126" s="115">
        <v>18</v>
      </c>
      <c r="Y126" s="119">
        <v>4.3</v>
      </c>
      <c r="Z126" s="125">
        <f t="shared" si="40"/>
        <v>9.1666666666666679</v>
      </c>
      <c r="AA126" s="126">
        <f t="shared" si="33"/>
        <v>0</v>
      </c>
      <c r="AB126" s="127">
        <f t="shared" si="34"/>
        <v>2.6190476190476195E-2</v>
      </c>
      <c r="AC126" s="126">
        <f t="shared" si="35"/>
        <v>4.5833333333333339</v>
      </c>
      <c r="AD126" s="126">
        <f t="shared" si="36"/>
        <v>1.1000000000000001</v>
      </c>
      <c r="AE126" s="126">
        <f t="shared" si="37"/>
        <v>192.5</v>
      </c>
      <c r="AF126" s="126">
        <f t="shared" si="38"/>
        <v>1.4666666666666668</v>
      </c>
      <c r="AG126" s="128">
        <f t="shared" si="39"/>
        <v>1.6923076923076923</v>
      </c>
    </row>
    <row r="127" spans="1:34" ht="15.75" customHeight="1" x14ac:dyDescent="0.35">
      <c r="A127" s="61" t="s">
        <v>56</v>
      </c>
      <c r="B127" s="48" t="s">
        <v>77</v>
      </c>
      <c r="C127" s="62" t="s">
        <v>253</v>
      </c>
      <c r="D127" s="115">
        <v>50</v>
      </c>
      <c r="E127" s="115"/>
      <c r="F127" s="115"/>
      <c r="G127" s="115">
        <v>2</v>
      </c>
      <c r="H127" s="124">
        <f t="shared" si="31"/>
        <v>50</v>
      </c>
      <c r="I127" s="115"/>
      <c r="J127" s="117">
        <v>6</v>
      </c>
      <c r="K127" s="115"/>
      <c r="L127" s="115"/>
      <c r="M127" s="115"/>
      <c r="N127" s="115"/>
      <c r="O127" s="115"/>
      <c r="P127" s="124">
        <f t="shared" si="32"/>
        <v>0</v>
      </c>
      <c r="Q127" s="117"/>
      <c r="R127" s="115"/>
      <c r="S127" s="142"/>
      <c r="T127" s="115"/>
      <c r="U127" s="118">
        <v>0.5</v>
      </c>
      <c r="V127" s="118">
        <v>0.5</v>
      </c>
      <c r="W127" s="118">
        <v>0.8</v>
      </c>
      <c r="X127" s="115">
        <v>18</v>
      </c>
      <c r="Y127" s="119">
        <v>5.4</v>
      </c>
      <c r="Z127" s="125">
        <f t="shared" si="40"/>
        <v>0</v>
      </c>
      <c r="AA127" s="126">
        <f t="shared" si="33"/>
        <v>0</v>
      </c>
      <c r="AB127" s="127">
        <f t="shared" si="34"/>
        <v>0</v>
      </c>
      <c r="AC127" s="126">
        <f t="shared" si="35"/>
        <v>0</v>
      </c>
      <c r="AD127" s="126">
        <f t="shared" si="36"/>
        <v>0</v>
      </c>
      <c r="AE127" s="126">
        <f t="shared" si="37"/>
        <v>0</v>
      </c>
      <c r="AF127" s="126">
        <f t="shared" si="38"/>
        <v>0</v>
      </c>
      <c r="AG127" s="128">
        <f t="shared" si="39"/>
        <v>0</v>
      </c>
    </row>
    <row r="128" spans="1:34" ht="15.75" customHeight="1" x14ac:dyDescent="0.35">
      <c r="A128" s="61" t="s">
        <v>248</v>
      </c>
      <c r="B128" s="48" t="s">
        <v>50</v>
      </c>
      <c r="C128" s="62" t="s">
        <v>254</v>
      </c>
      <c r="D128" s="115"/>
      <c r="E128" s="115">
        <v>60</v>
      </c>
      <c r="F128" s="115">
        <v>25</v>
      </c>
      <c r="G128" s="115"/>
      <c r="H128" s="124">
        <f t="shared" si="31"/>
        <v>85</v>
      </c>
      <c r="I128" s="115">
        <v>2</v>
      </c>
      <c r="J128" s="117">
        <v>14</v>
      </c>
      <c r="K128" s="115">
        <v>65</v>
      </c>
      <c r="L128" s="115"/>
      <c r="M128" s="115">
        <v>3</v>
      </c>
      <c r="N128" s="115"/>
      <c r="O128" s="115"/>
      <c r="P128" s="124">
        <f t="shared" si="32"/>
        <v>3</v>
      </c>
      <c r="Q128" s="117">
        <v>1</v>
      </c>
      <c r="R128" s="115" t="s">
        <v>255</v>
      </c>
      <c r="S128" s="142"/>
      <c r="T128" s="115"/>
      <c r="U128" s="118">
        <v>0.15</v>
      </c>
      <c r="V128" s="118">
        <v>0.35</v>
      </c>
      <c r="W128" s="118">
        <v>0.99</v>
      </c>
      <c r="X128" s="115">
        <v>17</v>
      </c>
      <c r="Y128" s="119">
        <v>4</v>
      </c>
      <c r="Z128" s="125">
        <f t="shared" si="40"/>
        <v>3</v>
      </c>
      <c r="AA128" s="126">
        <f t="shared" si="33"/>
        <v>0</v>
      </c>
      <c r="AB128" s="127">
        <f t="shared" si="34"/>
        <v>3.5294117647058823E-2</v>
      </c>
      <c r="AC128" s="126">
        <f t="shared" si="35"/>
        <v>1.5</v>
      </c>
      <c r="AD128" s="126">
        <f t="shared" si="36"/>
        <v>0.76470588235294112</v>
      </c>
      <c r="AE128" s="126">
        <f t="shared" si="37"/>
        <v>32.5</v>
      </c>
      <c r="AF128" s="126">
        <f t="shared" si="38"/>
        <v>0.89965397923875434</v>
      </c>
      <c r="AG128" s="128">
        <f t="shared" si="39"/>
        <v>1.1764705882352942</v>
      </c>
    </row>
    <row r="129" spans="1:34" ht="15.75" customHeight="1" x14ac:dyDescent="0.35">
      <c r="A129" s="63" t="s">
        <v>80</v>
      </c>
      <c r="B129" s="64" t="s">
        <v>77</v>
      </c>
      <c r="C129" s="65" t="s">
        <v>256</v>
      </c>
      <c r="D129" s="115"/>
      <c r="E129" s="115"/>
      <c r="F129" s="115">
        <v>400</v>
      </c>
      <c r="G129" s="115">
        <v>6</v>
      </c>
      <c r="H129" s="124">
        <f t="shared" si="31"/>
        <v>400</v>
      </c>
      <c r="I129" s="115">
        <v>4</v>
      </c>
      <c r="J129" s="117">
        <v>30</v>
      </c>
      <c r="K129" s="115">
        <v>440</v>
      </c>
      <c r="L129" s="115">
        <v>19.8</v>
      </c>
      <c r="M129" s="115"/>
      <c r="N129" s="115">
        <v>9.9</v>
      </c>
      <c r="O129" s="115"/>
      <c r="P129" s="124">
        <f t="shared" si="32"/>
        <v>29.700000000000003</v>
      </c>
      <c r="Q129" s="117">
        <v>1.5</v>
      </c>
      <c r="R129" s="115" t="s">
        <v>257</v>
      </c>
      <c r="S129" s="142"/>
      <c r="T129" s="115"/>
      <c r="U129" s="118">
        <v>0.2</v>
      </c>
      <c r="V129" s="118">
        <v>0.4</v>
      </c>
      <c r="W129" s="118">
        <v>0.99</v>
      </c>
      <c r="X129" s="115">
        <v>28</v>
      </c>
      <c r="Y129" s="119">
        <v>4.3</v>
      </c>
      <c r="Z129" s="125">
        <f t="shared" si="40"/>
        <v>19.8</v>
      </c>
      <c r="AA129" s="126">
        <f t="shared" si="33"/>
        <v>0</v>
      </c>
      <c r="AB129" s="127">
        <f t="shared" si="34"/>
        <v>4.9500000000000002E-2</v>
      </c>
      <c r="AC129" s="126">
        <f t="shared" si="35"/>
        <v>4.95</v>
      </c>
      <c r="AD129" s="126">
        <f t="shared" si="36"/>
        <v>1.1000000000000001</v>
      </c>
      <c r="AE129" s="126">
        <f t="shared" si="37"/>
        <v>110</v>
      </c>
      <c r="AF129" s="126">
        <f t="shared" si="38"/>
        <v>1.375</v>
      </c>
      <c r="AG129" s="128">
        <f t="shared" si="39"/>
        <v>1.8333333333333335</v>
      </c>
    </row>
    <row r="130" spans="1:34" ht="15.75" customHeight="1" x14ac:dyDescent="0.35">
      <c r="A130" s="61" t="s">
        <v>99</v>
      </c>
      <c r="B130" s="48" t="s">
        <v>77</v>
      </c>
      <c r="C130" s="62" t="s">
        <v>258</v>
      </c>
      <c r="D130" s="115"/>
      <c r="E130" s="115">
        <v>150</v>
      </c>
      <c r="F130" s="115">
        <v>200</v>
      </c>
      <c r="G130" s="115"/>
      <c r="H130" s="124">
        <f t="shared" ref="H130:H161" si="41">SUM(D130:F130)</f>
        <v>350</v>
      </c>
      <c r="I130" s="115">
        <v>3</v>
      </c>
      <c r="J130" s="117">
        <v>19</v>
      </c>
      <c r="K130" s="115">
        <v>110</v>
      </c>
      <c r="L130" s="115"/>
      <c r="M130" s="115">
        <f>10*3</f>
        <v>30</v>
      </c>
      <c r="N130" s="115"/>
      <c r="O130" s="115">
        <v>44</v>
      </c>
      <c r="P130" s="124">
        <f t="shared" ref="P130:P141" si="42">SUBTOTAL(9,L130:N130)</f>
        <v>30</v>
      </c>
      <c r="Q130" s="117">
        <v>4</v>
      </c>
      <c r="R130" s="115" t="s">
        <v>259</v>
      </c>
      <c r="S130" s="142"/>
      <c r="T130" s="115"/>
      <c r="U130" s="118">
        <v>0.3</v>
      </c>
      <c r="V130" s="118">
        <v>0.9</v>
      </c>
      <c r="W130" s="118">
        <v>0.5</v>
      </c>
      <c r="X130" s="115"/>
      <c r="Y130" s="119">
        <v>2.4</v>
      </c>
      <c r="Z130" s="125">
        <f t="shared" si="40"/>
        <v>7.5</v>
      </c>
      <c r="AA130" s="126">
        <f t="shared" ref="AA130:AA161" si="43">IFERROR(O130/Q130,0)</f>
        <v>11</v>
      </c>
      <c r="AB130" s="127">
        <f t="shared" ref="AB130:AB161" si="44">IFERROR(Z130/H130,0)</f>
        <v>2.1428571428571429E-2</v>
      </c>
      <c r="AC130" s="126">
        <f t="shared" ref="AC130:AC161" si="45">IFERROR(Z130/I130,0)</f>
        <v>2.5</v>
      </c>
      <c r="AD130" s="126">
        <f t="shared" ref="AD130:AD161" si="46">IFERROR(K130/H130,0)</f>
        <v>0.31428571428571428</v>
      </c>
      <c r="AE130" s="126">
        <f t="shared" ref="AE130:AE161" si="47">IFERROR(K130/I130,0)</f>
        <v>36.666666666666664</v>
      </c>
      <c r="AF130" s="126">
        <f t="shared" ref="AF130:AF161" si="48">IFERROR((K130/(1-U130))/H130,0)</f>
        <v>0.44897959183673469</v>
      </c>
      <c r="AG130" s="128">
        <f t="shared" ref="AG130:AG161" si="49">IFERROR((K130/(1-V130))/H130,0)</f>
        <v>3.1428571428571437</v>
      </c>
    </row>
    <row r="131" spans="1:34" ht="15.75" customHeight="1" x14ac:dyDescent="0.35">
      <c r="A131" s="61" t="s">
        <v>80</v>
      </c>
      <c r="B131" s="48" t="s">
        <v>77</v>
      </c>
      <c r="C131" s="62" t="s">
        <v>260</v>
      </c>
      <c r="D131" s="115"/>
      <c r="E131" s="115"/>
      <c r="F131" s="115">
        <v>400</v>
      </c>
      <c r="G131" s="115">
        <v>6</v>
      </c>
      <c r="H131" s="124">
        <f t="shared" si="41"/>
        <v>400</v>
      </c>
      <c r="I131" s="115">
        <v>4</v>
      </c>
      <c r="J131" s="117">
        <v>30</v>
      </c>
      <c r="K131" s="115">
        <v>700</v>
      </c>
      <c r="L131" s="115">
        <v>25</v>
      </c>
      <c r="M131" s="115"/>
      <c r="N131" s="115"/>
      <c r="O131" s="115">
        <v>15</v>
      </c>
      <c r="P131" s="124">
        <f t="shared" si="42"/>
        <v>25</v>
      </c>
      <c r="Q131" s="117">
        <v>1.5</v>
      </c>
      <c r="R131" s="115" t="s">
        <v>198</v>
      </c>
      <c r="S131" s="142"/>
      <c r="T131" s="115"/>
      <c r="U131" s="118">
        <v>0.4</v>
      </c>
      <c r="V131" s="118">
        <v>0.4</v>
      </c>
      <c r="W131" s="118">
        <v>0.99</v>
      </c>
      <c r="X131" s="115">
        <v>2</v>
      </c>
      <c r="Y131" s="119">
        <v>4.0999999999999996</v>
      </c>
      <c r="Z131" s="125">
        <f t="shared" si="40"/>
        <v>16.666666666666668</v>
      </c>
      <c r="AA131" s="126">
        <f t="shared" si="43"/>
        <v>10</v>
      </c>
      <c r="AB131" s="127">
        <f t="shared" si="44"/>
        <v>4.1666666666666671E-2</v>
      </c>
      <c r="AC131" s="126">
        <f t="shared" si="45"/>
        <v>4.166666666666667</v>
      </c>
      <c r="AD131" s="126">
        <f t="shared" si="46"/>
        <v>1.75</v>
      </c>
      <c r="AE131" s="126">
        <f t="shared" si="47"/>
        <v>175</v>
      </c>
      <c r="AF131" s="126">
        <f t="shared" si="48"/>
        <v>2.916666666666667</v>
      </c>
      <c r="AG131" s="128">
        <f t="shared" si="49"/>
        <v>2.916666666666667</v>
      </c>
    </row>
    <row r="132" spans="1:34" ht="15.75" customHeight="1" x14ac:dyDescent="0.35">
      <c r="A132" s="61" t="s">
        <v>248</v>
      </c>
      <c r="B132" s="48" t="s">
        <v>77</v>
      </c>
      <c r="C132" s="62" t="s">
        <v>261</v>
      </c>
      <c r="D132" s="115"/>
      <c r="E132" s="115">
        <v>55</v>
      </c>
      <c r="F132" s="115">
        <v>35</v>
      </c>
      <c r="G132" s="115"/>
      <c r="H132" s="124">
        <f t="shared" si="41"/>
        <v>90</v>
      </c>
      <c r="I132" s="115">
        <v>2</v>
      </c>
      <c r="J132" s="117">
        <v>15</v>
      </c>
      <c r="K132" s="115">
        <v>65</v>
      </c>
      <c r="L132" s="115"/>
      <c r="M132" s="115">
        <v>6</v>
      </c>
      <c r="N132" s="115"/>
      <c r="O132" s="115"/>
      <c r="P132" s="124">
        <f t="shared" si="42"/>
        <v>6</v>
      </c>
      <c r="Q132" s="117">
        <v>1.1000000000000001</v>
      </c>
      <c r="R132" s="115" t="s">
        <v>262</v>
      </c>
      <c r="S132" s="142"/>
      <c r="T132" s="115"/>
      <c r="U132" s="118">
        <v>0.15</v>
      </c>
      <c r="V132" s="118">
        <v>0.15</v>
      </c>
      <c r="W132" s="118">
        <v>0.99</v>
      </c>
      <c r="X132" s="115">
        <v>15</v>
      </c>
      <c r="Y132" s="119">
        <v>4</v>
      </c>
      <c r="Z132" s="125">
        <f t="shared" si="40"/>
        <v>5.4545454545454541</v>
      </c>
      <c r="AA132" s="126">
        <f t="shared" si="43"/>
        <v>0</v>
      </c>
      <c r="AB132" s="127">
        <f t="shared" si="44"/>
        <v>6.0606060606060601E-2</v>
      </c>
      <c r="AC132" s="126">
        <f t="shared" si="45"/>
        <v>2.7272727272727271</v>
      </c>
      <c r="AD132" s="126">
        <f t="shared" si="46"/>
        <v>0.72222222222222221</v>
      </c>
      <c r="AE132" s="126">
        <f t="shared" si="47"/>
        <v>32.5</v>
      </c>
      <c r="AF132" s="126">
        <f t="shared" si="48"/>
        <v>0.84967320261437906</v>
      </c>
      <c r="AG132" s="128">
        <f t="shared" si="49"/>
        <v>0.84967320261437906</v>
      </c>
    </row>
    <row r="133" spans="1:34" ht="15.75" customHeight="1" x14ac:dyDescent="0.35">
      <c r="A133" s="61" t="s">
        <v>97</v>
      </c>
      <c r="B133" s="48" t="s">
        <v>77</v>
      </c>
      <c r="C133" s="62" t="s">
        <v>263</v>
      </c>
      <c r="D133" s="115"/>
      <c r="E133" s="115">
        <v>90</v>
      </c>
      <c r="F133" s="115">
        <v>45</v>
      </c>
      <c r="G133" s="115"/>
      <c r="H133" s="124">
        <f t="shared" si="41"/>
        <v>135</v>
      </c>
      <c r="I133" s="115">
        <v>3</v>
      </c>
      <c r="J133" s="117">
        <v>17</v>
      </c>
      <c r="K133" s="115">
        <v>320</v>
      </c>
      <c r="L133" s="115">
        <v>25</v>
      </c>
      <c r="M133" s="115"/>
      <c r="N133" s="115"/>
      <c r="O133" s="115"/>
      <c r="P133" s="124">
        <f t="shared" si="42"/>
        <v>25</v>
      </c>
      <c r="Q133" s="117">
        <v>1.5</v>
      </c>
      <c r="R133" s="115"/>
      <c r="S133" s="142"/>
      <c r="T133" s="115"/>
      <c r="U133" s="118">
        <v>0.3</v>
      </c>
      <c r="V133" s="118">
        <v>0.1</v>
      </c>
      <c r="W133" s="118">
        <v>0.5</v>
      </c>
      <c r="X133" s="115">
        <v>2</v>
      </c>
      <c r="Y133" s="119">
        <v>7</v>
      </c>
      <c r="Z133" s="125">
        <f t="shared" si="40"/>
        <v>16.666666666666668</v>
      </c>
      <c r="AA133" s="126">
        <f t="shared" si="43"/>
        <v>0</v>
      </c>
      <c r="AB133" s="127">
        <f t="shared" si="44"/>
        <v>0.1234567901234568</v>
      </c>
      <c r="AC133" s="126">
        <f t="shared" si="45"/>
        <v>5.5555555555555562</v>
      </c>
      <c r="AD133" s="126">
        <f t="shared" si="46"/>
        <v>2.3703703703703702</v>
      </c>
      <c r="AE133" s="126">
        <f t="shared" si="47"/>
        <v>106.66666666666667</v>
      </c>
      <c r="AF133" s="126">
        <f t="shared" si="48"/>
        <v>3.3862433862433865</v>
      </c>
      <c r="AG133" s="128">
        <f t="shared" si="49"/>
        <v>2.6337448559670782</v>
      </c>
    </row>
    <row r="134" spans="1:34" ht="15.75" customHeight="1" x14ac:dyDescent="0.35">
      <c r="A134" s="61" t="s">
        <v>56</v>
      </c>
      <c r="B134" s="48" t="s">
        <v>77</v>
      </c>
      <c r="C134" s="62" t="s">
        <v>264</v>
      </c>
      <c r="D134" s="115"/>
      <c r="E134" s="115"/>
      <c r="F134" s="115">
        <v>200</v>
      </c>
      <c r="G134" s="115">
        <v>20</v>
      </c>
      <c r="H134" s="124">
        <f t="shared" si="41"/>
        <v>200</v>
      </c>
      <c r="I134" s="115">
        <v>4</v>
      </c>
      <c r="J134" s="117">
        <v>15</v>
      </c>
      <c r="K134" s="115">
        <v>800</v>
      </c>
      <c r="L134" s="115">
        <v>30</v>
      </c>
      <c r="M134" s="115"/>
      <c r="N134" s="115"/>
      <c r="O134" s="115">
        <v>15</v>
      </c>
      <c r="P134" s="124">
        <f t="shared" si="42"/>
        <v>30</v>
      </c>
      <c r="Q134" s="117">
        <v>1.5</v>
      </c>
      <c r="R134" s="115" t="s">
        <v>265</v>
      </c>
      <c r="S134" s="142" t="s">
        <v>119</v>
      </c>
      <c r="T134" s="115"/>
      <c r="U134" s="118">
        <v>0.4</v>
      </c>
      <c r="V134" s="118">
        <v>0.7</v>
      </c>
      <c r="W134" s="118">
        <v>0.8</v>
      </c>
      <c r="X134" s="115"/>
      <c r="Y134" s="119">
        <v>5.3</v>
      </c>
      <c r="Z134" s="125">
        <f t="shared" si="40"/>
        <v>20</v>
      </c>
      <c r="AA134" s="126">
        <f t="shared" si="43"/>
        <v>10</v>
      </c>
      <c r="AB134" s="127">
        <f t="shared" si="44"/>
        <v>0.1</v>
      </c>
      <c r="AC134" s="126">
        <f t="shared" si="45"/>
        <v>5</v>
      </c>
      <c r="AD134" s="126">
        <f t="shared" si="46"/>
        <v>4</v>
      </c>
      <c r="AE134" s="126">
        <f t="shared" si="47"/>
        <v>200</v>
      </c>
      <c r="AF134" s="126">
        <f t="shared" si="48"/>
        <v>6.6666666666666679</v>
      </c>
      <c r="AG134" s="128">
        <f t="shared" si="49"/>
        <v>13.33333333333333</v>
      </c>
    </row>
    <row r="135" spans="1:34" ht="15.75" customHeight="1" x14ac:dyDescent="0.35">
      <c r="A135" s="61" t="s">
        <v>56</v>
      </c>
      <c r="B135" s="48" t="s">
        <v>77</v>
      </c>
      <c r="C135" s="62" t="s">
        <v>266</v>
      </c>
      <c r="D135" s="115"/>
      <c r="E135" s="115"/>
      <c r="F135" s="115"/>
      <c r="G135" s="115"/>
      <c r="H135" s="124">
        <f t="shared" si="41"/>
        <v>0</v>
      </c>
      <c r="I135" s="115"/>
      <c r="J135" s="117"/>
      <c r="K135" s="115">
        <v>100</v>
      </c>
      <c r="L135" s="115">
        <v>12</v>
      </c>
      <c r="M135" s="115"/>
      <c r="N135" s="115"/>
      <c r="O135" s="115"/>
      <c r="P135" s="124">
        <f t="shared" si="42"/>
        <v>12</v>
      </c>
      <c r="Q135" s="117">
        <v>2</v>
      </c>
      <c r="R135" s="115"/>
      <c r="S135" s="142"/>
      <c r="T135" s="115"/>
      <c r="U135" s="118">
        <v>0.2</v>
      </c>
      <c r="V135" s="118">
        <v>0.2</v>
      </c>
      <c r="W135" s="118">
        <v>0.8</v>
      </c>
      <c r="X135" s="115"/>
      <c r="Y135" s="119">
        <v>4.5</v>
      </c>
      <c r="Z135" s="125">
        <f t="shared" si="40"/>
        <v>6</v>
      </c>
      <c r="AA135" s="126">
        <f t="shared" si="43"/>
        <v>0</v>
      </c>
      <c r="AB135" s="127">
        <f t="shared" si="44"/>
        <v>0</v>
      </c>
      <c r="AC135" s="126">
        <f t="shared" si="45"/>
        <v>0</v>
      </c>
      <c r="AD135" s="126">
        <f t="shared" si="46"/>
        <v>0</v>
      </c>
      <c r="AE135" s="126">
        <f t="shared" si="47"/>
        <v>0</v>
      </c>
      <c r="AF135" s="126">
        <f t="shared" si="48"/>
        <v>0</v>
      </c>
      <c r="AG135" s="128">
        <f t="shared" si="49"/>
        <v>0</v>
      </c>
    </row>
    <row r="136" spans="1:34" ht="15.75" customHeight="1" x14ac:dyDescent="0.35">
      <c r="A136" s="61" t="s">
        <v>80</v>
      </c>
      <c r="B136" s="48" t="s">
        <v>77</v>
      </c>
      <c r="C136" s="62" t="s">
        <v>267</v>
      </c>
      <c r="D136" s="115"/>
      <c r="E136" s="115">
        <v>200</v>
      </c>
      <c r="F136" s="115"/>
      <c r="G136" s="115">
        <v>4</v>
      </c>
      <c r="H136" s="124">
        <f t="shared" si="41"/>
        <v>200</v>
      </c>
      <c r="I136" s="115">
        <v>4</v>
      </c>
      <c r="J136" s="117">
        <v>25</v>
      </c>
      <c r="K136" s="115">
        <v>480</v>
      </c>
      <c r="L136" s="115"/>
      <c r="M136" s="115">
        <f>16*3</f>
        <v>48</v>
      </c>
      <c r="N136" s="115"/>
      <c r="O136" s="115"/>
      <c r="P136" s="124">
        <f t="shared" si="42"/>
        <v>48</v>
      </c>
      <c r="Q136" s="117">
        <v>2</v>
      </c>
      <c r="R136" s="115" t="s">
        <v>268</v>
      </c>
      <c r="S136" s="142"/>
      <c r="T136" s="115"/>
      <c r="U136" s="118">
        <v>0.25</v>
      </c>
      <c r="V136" s="118">
        <v>0.4</v>
      </c>
      <c r="W136" s="118">
        <v>0.15</v>
      </c>
      <c r="X136" s="115">
        <v>16</v>
      </c>
      <c r="Y136" s="119">
        <v>6</v>
      </c>
      <c r="Z136" s="125">
        <f t="shared" si="40"/>
        <v>24</v>
      </c>
      <c r="AA136" s="126">
        <f t="shared" si="43"/>
        <v>0</v>
      </c>
      <c r="AB136" s="127">
        <f t="shared" si="44"/>
        <v>0.12</v>
      </c>
      <c r="AC136" s="126">
        <f t="shared" si="45"/>
        <v>6</v>
      </c>
      <c r="AD136" s="126">
        <f t="shared" si="46"/>
        <v>2.4</v>
      </c>
      <c r="AE136" s="126">
        <f t="shared" si="47"/>
        <v>120</v>
      </c>
      <c r="AF136" s="126">
        <f t="shared" si="48"/>
        <v>3.2</v>
      </c>
      <c r="AG136" s="128">
        <f t="shared" si="49"/>
        <v>4</v>
      </c>
    </row>
    <row r="137" spans="1:34" ht="15.75" customHeight="1" x14ac:dyDescent="0.35">
      <c r="A137" s="61" t="s">
        <v>80</v>
      </c>
      <c r="B137" s="48" t="s">
        <v>77</v>
      </c>
      <c r="C137" s="62" t="s">
        <v>269</v>
      </c>
      <c r="D137" s="115">
        <v>100</v>
      </c>
      <c r="E137" s="115">
        <v>50</v>
      </c>
      <c r="F137" s="115"/>
      <c r="G137" s="115"/>
      <c r="H137" s="124">
        <f t="shared" si="41"/>
        <v>150</v>
      </c>
      <c r="I137" s="115">
        <v>2</v>
      </c>
      <c r="J137" s="117">
        <v>5</v>
      </c>
      <c r="K137" s="115">
        <v>209</v>
      </c>
      <c r="L137" s="115">
        <v>7.2</v>
      </c>
      <c r="M137" s="115"/>
      <c r="N137" s="115"/>
      <c r="O137" s="115"/>
      <c r="P137" s="124">
        <f t="shared" si="42"/>
        <v>7.2</v>
      </c>
      <c r="Q137" s="117">
        <v>1</v>
      </c>
      <c r="R137" s="115" t="s">
        <v>214</v>
      </c>
      <c r="S137" s="142"/>
      <c r="T137" s="115"/>
      <c r="U137" s="118">
        <v>0.35</v>
      </c>
      <c r="V137" s="118">
        <v>0.4</v>
      </c>
      <c r="W137" s="118">
        <v>0.99</v>
      </c>
      <c r="X137" s="115"/>
      <c r="Y137" s="119">
        <v>4.3</v>
      </c>
      <c r="Z137" s="125">
        <f t="shared" si="40"/>
        <v>7.2</v>
      </c>
      <c r="AA137" s="126">
        <f t="shared" si="43"/>
        <v>0</v>
      </c>
      <c r="AB137" s="127">
        <f t="shared" si="44"/>
        <v>4.8000000000000001E-2</v>
      </c>
      <c r="AC137" s="126">
        <f t="shared" si="45"/>
        <v>3.6</v>
      </c>
      <c r="AD137" s="126">
        <f t="shared" si="46"/>
        <v>1.3933333333333333</v>
      </c>
      <c r="AE137" s="126">
        <f t="shared" si="47"/>
        <v>104.5</v>
      </c>
      <c r="AF137" s="126">
        <f t="shared" si="48"/>
        <v>2.1435897435897435</v>
      </c>
      <c r="AG137" s="128">
        <f t="shared" si="49"/>
        <v>2.3222222222222224</v>
      </c>
    </row>
    <row r="138" spans="1:34" ht="15.75" customHeight="1" x14ac:dyDescent="0.35">
      <c r="A138" s="61" t="s">
        <v>248</v>
      </c>
      <c r="B138" s="48" t="s">
        <v>54</v>
      </c>
      <c r="C138" s="62" t="s">
        <v>270</v>
      </c>
      <c r="D138" s="115"/>
      <c r="E138" s="115">
        <v>60</v>
      </c>
      <c r="F138" s="115">
        <v>35</v>
      </c>
      <c r="G138" s="115"/>
      <c r="H138" s="124">
        <f t="shared" si="41"/>
        <v>95</v>
      </c>
      <c r="I138" s="115">
        <v>2</v>
      </c>
      <c r="J138" s="117">
        <v>16</v>
      </c>
      <c r="K138" s="115">
        <v>65</v>
      </c>
      <c r="L138" s="115"/>
      <c r="M138" s="115">
        <v>5</v>
      </c>
      <c r="N138" s="115"/>
      <c r="O138" s="115"/>
      <c r="P138" s="124">
        <f t="shared" si="42"/>
        <v>5</v>
      </c>
      <c r="Q138" s="117">
        <v>1</v>
      </c>
      <c r="R138" s="115" t="s">
        <v>262</v>
      </c>
      <c r="S138" s="142"/>
      <c r="T138" s="115"/>
      <c r="U138" s="118">
        <v>0.15</v>
      </c>
      <c r="V138" s="118">
        <v>0.15</v>
      </c>
      <c r="W138" s="118">
        <v>0.99</v>
      </c>
      <c r="X138" s="115">
        <v>20</v>
      </c>
      <c r="Y138" s="119">
        <v>4</v>
      </c>
      <c r="Z138" s="125">
        <f t="shared" si="40"/>
        <v>5</v>
      </c>
      <c r="AA138" s="126">
        <f t="shared" si="43"/>
        <v>0</v>
      </c>
      <c r="AB138" s="127">
        <f t="shared" si="44"/>
        <v>5.2631578947368418E-2</v>
      </c>
      <c r="AC138" s="126">
        <f t="shared" si="45"/>
        <v>2.5</v>
      </c>
      <c r="AD138" s="126">
        <f t="shared" si="46"/>
        <v>0.68421052631578949</v>
      </c>
      <c r="AE138" s="126">
        <f t="shared" si="47"/>
        <v>32.5</v>
      </c>
      <c r="AF138" s="126">
        <f t="shared" si="48"/>
        <v>0.804953560371517</v>
      </c>
      <c r="AG138" s="128">
        <f t="shared" si="49"/>
        <v>0.804953560371517</v>
      </c>
    </row>
    <row r="139" spans="1:34" ht="15.75" customHeight="1" x14ac:dyDescent="0.35">
      <c r="A139" s="61" t="s">
        <v>66</v>
      </c>
      <c r="B139" s="48" t="s">
        <v>77</v>
      </c>
      <c r="C139" s="62" t="s">
        <v>271</v>
      </c>
      <c r="D139" s="115"/>
      <c r="E139" s="115">
        <v>100</v>
      </c>
      <c r="F139" s="115">
        <v>50</v>
      </c>
      <c r="G139" s="115"/>
      <c r="H139" s="124">
        <f t="shared" si="41"/>
        <v>150</v>
      </c>
      <c r="I139" s="115">
        <v>3</v>
      </c>
      <c r="J139" s="117">
        <v>17</v>
      </c>
      <c r="K139" s="115">
        <v>320</v>
      </c>
      <c r="L139" s="115"/>
      <c r="M139" s="115">
        <f>8*3</f>
        <v>24</v>
      </c>
      <c r="N139" s="115"/>
      <c r="O139" s="115"/>
      <c r="P139" s="124">
        <f t="shared" si="42"/>
        <v>24</v>
      </c>
      <c r="Q139" s="117">
        <v>1.5</v>
      </c>
      <c r="R139" s="115"/>
      <c r="S139" s="142"/>
      <c r="T139" s="115"/>
      <c r="U139" s="118">
        <v>0.5</v>
      </c>
      <c r="V139" s="118">
        <v>0.3</v>
      </c>
      <c r="W139" s="118">
        <v>0.05</v>
      </c>
      <c r="X139" s="115">
        <v>15</v>
      </c>
      <c r="Y139" s="119">
        <v>5.5</v>
      </c>
      <c r="Z139" s="125">
        <f t="shared" ref="Z139:Z169" si="50">IFERROR(P139/Q139,0)</f>
        <v>16</v>
      </c>
      <c r="AA139" s="126">
        <f t="shared" si="43"/>
        <v>0</v>
      </c>
      <c r="AB139" s="127">
        <f t="shared" si="44"/>
        <v>0.10666666666666667</v>
      </c>
      <c r="AC139" s="126">
        <f t="shared" si="45"/>
        <v>5.333333333333333</v>
      </c>
      <c r="AD139" s="126">
        <f t="shared" si="46"/>
        <v>2.1333333333333333</v>
      </c>
      <c r="AE139" s="126">
        <f t="shared" si="47"/>
        <v>106.66666666666667</v>
      </c>
      <c r="AF139" s="126">
        <f t="shared" si="48"/>
        <v>4.2666666666666666</v>
      </c>
      <c r="AG139" s="128">
        <f t="shared" si="49"/>
        <v>3.0476190476190479</v>
      </c>
    </row>
    <row r="140" spans="1:34" ht="15.75" customHeight="1" x14ac:dyDescent="0.35">
      <c r="A140" s="61" t="s">
        <v>99</v>
      </c>
      <c r="B140" s="48" t="s">
        <v>101</v>
      </c>
      <c r="C140" s="62" t="s">
        <v>272</v>
      </c>
      <c r="D140" s="115"/>
      <c r="E140" s="115">
        <v>150</v>
      </c>
      <c r="F140" s="115">
        <v>150</v>
      </c>
      <c r="G140" s="115"/>
      <c r="H140" s="124">
        <f t="shared" si="41"/>
        <v>300</v>
      </c>
      <c r="I140" s="115">
        <v>4</v>
      </c>
      <c r="J140" s="117">
        <v>17</v>
      </c>
      <c r="K140" s="115">
        <v>85</v>
      </c>
      <c r="L140" s="115"/>
      <c r="M140" s="115">
        <v>22</v>
      </c>
      <c r="N140" s="115"/>
      <c r="O140" s="115">
        <v>12</v>
      </c>
      <c r="P140" s="124">
        <f t="shared" si="42"/>
        <v>22</v>
      </c>
      <c r="Q140" s="117">
        <v>2.5</v>
      </c>
      <c r="R140" s="115" t="s">
        <v>273</v>
      </c>
      <c r="S140" s="142"/>
      <c r="T140" s="115"/>
      <c r="U140" s="118">
        <v>0.2</v>
      </c>
      <c r="V140" s="118">
        <v>0.9</v>
      </c>
      <c r="W140" s="118">
        <v>0.6</v>
      </c>
      <c r="X140" s="115">
        <v>30</v>
      </c>
      <c r="Y140" s="119">
        <v>2.4</v>
      </c>
      <c r="Z140" s="125">
        <f t="shared" si="50"/>
        <v>8.8000000000000007</v>
      </c>
      <c r="AA140" s="126">
        <f t="shared" si="43"/>
        <v>4.8</v>
      </c>
      <c r="AB140" s="127">
        <f t="shared" si="44"/>
        <v>2.9333333333333336E-2</v>
      </c>
      <c r="AC140" s="126">
        <f t="shared" si="45"/>
        <v>2.2000000000000002</v>
      </c>
      <c r="AD140" s="126">
        <f t="shared" si="46"/>
        <v>0.28333333333333333</v>
      </c>
      <c r="AE140" s="126">
        <f t="shared" si="47"/>
        <v>21.25</v>
      </c>
      <c r="AF140" s="126">
        <f t="shared" si="48"/>
        <v>0.35416666666666669</v>
      </c>
      <c r="AG140" s="128">
        <f t="shared" si="49"/>
        <v>2.8333333333333339</v>
      </c>
    </row>
    <row r="141" spans="1:34" ht="15.75" customHeight="1" x14ac:dyDescent="0.35">
      <c r="A141" s="61" t="s">
        <v>56</v>
      </c>
      <c r="B141" s="48" t="s">
        <v>101</v>
      </c>
      <c r="C141" s="62" t="s">
        <v>274</v>
      </c>
      <c r="D141" s="115"/>
      <c r="E141" s="115"/>
      <c r="F141" s="115">
        <v>250</v>
      </c>
      <c r="G141" s="115">
        <v>27</v>
      </c>
      <c r="H141" s="124">
        <f t="shared" si="41"/>
        <v>250</v>
      </c>
      <c r="I141" s="115">
        <v>3</v>
      </c>
      <c r="J141" s="117">
        <v>20</v>
      </c>
      <c r="K141" s="115">
        <v>650</v>
      </c>
      <c r="L141" s="115">
        <v>20</v>
      </c>
      <c r="M141" s="115"/>
      <c r="N141" s="115"/>
      <c r="O141" s="115">
        <v>20</v>
      </c>
      <c r="P141" s="124">
        <f t="shared" si="42"/>
        <v>20</v>
      </c>
      <c r="Q141" s="117">
        <v>1</v>
      </c>
      <c r="R141" s="115" t="s">
        <v>65</v>
      </c>
      <c r="S141" s="142" t="s">
        <v>119</v>
      </c>
      <c r="T141" s="115"/>
      <c r="U141" s="118">
        <v>0.6</v>
      </c>
      <c r="V141" s="118">
        <v>0.6</v>
      </c>
      <c r="W141" s="118">
        <v>0.8</v>
      </c>
      <c r="X141" s="115">
        <v>1</v>
      </c>
      <c r="Y141" s="119">
        <v>5</v>
      </c>
      <c r="Z141" s="125">
        <f t="shared" si="50"/>
        <v>20</v>
      </c>
      <c r="AA141" s="126">
        <f t="shared" si="43"/>
        <v>20</v>
      </c>
      <c r="AB141" s="127">
        <f t="shared" si="44"/>
        <v>0.08</v>
      </c>
      <c r="AC141" s="126">
        <f t="shared" si="45"/>
        <v>6.666666666666667</v>
      </c>
      <c r="AD141" s="126">
        <f t="shared" si="46"/>
        <v>2.6</v>
      </c>
      <c r="AE141" s="126">
        <f t="shared" si="47"/>
        <v>216.66666666666666</v>
      </c>
      <c r="AF141" s="126">
        <f t="shared" si="48"/>
        <v>6.5</v>
      </c>
      <c r="AG141" s="128">
        <f t="shared" si="49"/>
        <v>6.5</v>
      </c>
      <c r="AH141" s="73"/>
    </row>
    <row r="142" spans="1:34" ht="15.75" customHeight="1" x14ac:dyDescent="0.35">
      <c r="A142" s="61" t="s">
        <v>241</v>
      </c>
      <c r="B142" s="48" t="s">
        <v>50</v>
      </c>
      <c r="C142" s="62" t="s">
        <v>275</v>
      </c>
      <c r="D142" s="115"/>
      <c r="E142" s="115">
        <v>100</v>
      </c>
      <c r="F142" s="115">
        <v>40</v>
      </c>
      <c r="G142" s="115"/>
      <c r="H142" s="124">
        <f t="shared" si="41"/>
        <v>140</v>
      </c>
      <c r="I142" s="115">
        <v>3</v>
      </c>
      <c r="J142" s="117">
        <v>10</v>
      </c>
      <c r="K142" s="115">
        <v>100</v>
      </c>
      <c r="L142" s="115"/>
      <c r="M142" s="115">
        <v>11</v>
      </c>
      <c r="N142" s="115"/>
      <c r="O142" s="115"/>
      <c r="P142" s="124">
        <v>11</v>
      </c>
      <c r="Q142" s="117">
        <v>1.5</v>
      </c>
      <c r="R142" s="115" t="s">
        <v>262</v>
      </c>
      <c r="S142" s="142"/>
      <c r="T142" s="115"/>
      <c r="U142" s="118">
        <v>0.15</v>
      </c>
      <c r="V142" s="118">
        <v>0.2</v>
      </c>
      <c r="W142" s="118">
        <v>0.99</v>
      </c>
      <c r="X142" s="115">
        <v>20</v>
      </c>
      <c r="Y142" s="119">
        <v>5</v>
      </c>
      <c r="Z142" s="125">
        <f t="shared" si="50"/>
        <v>7.333333333333333</v>
      </c>
      <c r="AA142" s="126">
        <f t="shared" si="43"/>
        <v>0</v>
      </c>
      <c r="AB142" s="127">
        <f t="shared" si="44"/>
        <v>5.2380952380952382E-2</v>
      </c>
      <c r="AC142" s="126">
        <f t="shared" si="45"/>
        <v>2.4444444444444442</v>
      </c>
      <c r="AD142" s="126">
        <f t="shared" si="46"/>
        <v>0.7142857142857143</v>
      </c>
      <c r="AE142" s="126">
        <f t="shared" si="47"/>
        <v>33.333333333333336</v>
      </c>
      <c r="AF142" s="126">
        <f t="shared" si="48"/>
        <v>0.84033613445378152</v>
      </c>
      <c r="AG142" s="128">
        <f t="shared" si="49"/>
        <v>0.8928571428571429</v>
      </c>
    </row>
    <row r="143" spans="1:34" ht="15.75" customHeight="1" x14ac:dyDescent="0.35">
      <c r="A143" s="61" t="s">
        <v>204</v>
      </c>
      <c r="B143" s="48" t="s">
        <v>101</v>
      </c>
      <c r="C143" s="62" t="s">
        <v>276</v>
      </c>
      <c r="D143" s="115"/>
      <c r="E143" s="115">
        <v>100</v>
      </c>
      <c r="F143" s="115">
        <v>50</v>
      </c>
      <c r="G143" s="115"/>
      <c r="H143" s="124">
        <f t="shared" si="41"/>
        <v>150</v>
      </c>
      <c r="I143" s="115">
        <v>3</v>
      </c>
      <c r="J143" s="117">
        <v>17</v>
      </c>
      <c r="K143" s="115">
        <v>250</v>
      </c>
      <c r="L143" s="115"/>
      <c r="M143" s="115">
        <f>4*2.5</f>
        <v>10</v>
      </c>
      <c r="N143" s="115"/>
      <c r="O143" s="115">
        <v>5</v>
      </c>
      <c r="P143" s="124">
        <f t="shared" ref="P143:P169" si="51">SUBTOTAL(9,L143:N143)</f>
        <v>10</v>
      </c>
      <c r="Q143" s="117">
        <v>2</v>
      </c>
      <c r="R143" s="115" t="s">
        <v>277</v>
      </c>
      <c r="S143" s="142"/>
      <c r="T143" s="115"/>
      <c r="U143" s="118">
        <v>0.1</v>
      </c>
      <c r="V143" s="118">
        <v>0.6</v>
      </c>
      <c r="W143" s="118">
        <v>0.1</v>
      </c>
      <c r="X143" s="115">
        <v>20</v>
      </c>
      <c r="Y143" s="119">
        <v>4.8</v>
      </c>
      <c r="Z143" s="125">
        <f t="shared" si="50"/>
        <v>5</v>
      </c>
      <c r="AA143" s="126">
        <f t="shared" si="43"/>
        <v>2.5</v>
      </c>
      <c r="AB143" s="127">
        <f t="shared" si="44"/>
        <v>3.3333333333333333E-2</v>
      </c>
      <c r="AC143" s="126">
        <f t="shared" si="45"/>
        <v>1.6666666666666667</v>
      </c>
      <c r="AD143" s="126">
        <f t="shared" si="46"/>
        <v>1.6666666666666667</v>
      </c>
      <c r="AE143" s="126">
        <f t="shared" si="47"/>
        <v>83.333333333333329</v>
      </c>
      <c r="AF143" s="126">
        <f t="shared" si="48"/>
        <v>1.8518518518518519</v>
      </c>
      <c r="AG143" s="128">
        <f t="shared" si="49"/>
        <v>4.166666666666667</v>
      </c>
    </row>
    <row r="144" spans="1:34" ht="15.75" customHeight="1" x14ac:dyDescent="0.35">
      <c r="A144" s="61" t="s">
        <v>97</v>
      </c>
      <c r="B144" s="48" t="s">
        <v>101</v>
      </c>
      <c r="C144" s="62" t="s">
        <v>278</v>
      </c>
      <c r="D144" s="115"/>
      <c r="E144" s="115">
        <v>100</v>
      </c>
      <c r="F144" s="115">
        <v>50</v>
      </c>
      <c r="G144" s="115"/>
      <c r="H144" s="124">
        <f t="shared" si="41"/>
        <v>150</v>
      </c>
      <c r="I144" s="115">
        <v>3</v>
      </c>
      <c r="J144" s="117">
        <v>17</v>
      </c>
      <c r="K144" s="115">
        <v>320</v>
      </c>
      <c r="L144" s="115">
        <v>28</v>
      </c>
      <c r="M144" s="115"/>
      <c r="N144" s="115"/>
      <c r="O144" s="115"/>
      <c r="P144" s="124">
        <f t="shared" si="51"/>
        <v>28</v>
      </c>
      <c r="Q144" s="117">
        <v>1.5</v>
      </c>
      <c r="R144" s="115"/>
      <c r="S144" s="142"/>
      <c r="T144" s="115"/>
      <c r="U144" s="118">
        <v>0.3</v>
      </c>
      <c r="V144" s="118">
        <v>0.1</v>
      </c>
      <c r="W144" s="118">
        <v>0.5</v>
      </c>
      <c r="X144" s="115">
        <v>2</v>
      </c>
      <c r="Y144" s="119">
        <v>7</v>
      </c>
      <c r="Z144" s="125">
        <f t="shared" si="50"/>
        <v>18.666666666666668</v>
      </c>
      <c r="AA144" s="126">
        <f t="shared" si="43"/>
        <v>0</v>
      </c>
      <c r="AB144" s="127">
        <f t="shared" si="44"/>
        <v>0.12444444444444445</v>
      </c>
      <c r="AC144" s="126">
        <f t="shared" si="45"/>
        <v>6.2222222222222223</v>
      </c>
      <c r="AD144" s="126">
        <f t="shared" si="46"/>
        <v>2.1333333333333333</v>
      </c>
      <c r="AE144" s="126">
        <f t="shared" si="47"/>
        <v>106.66666666666667</v>
      </c>
      <c r="AF144" s="126">
        <f t="shared" si="48"/>
        <v>3.0476190476190479</v>
      </c>
      <c r="AG144" s="128">
        <f t="shared" si="49"/>
        <v>2.3703703703703702</v>
      </c>
    </row>
    <row r="145" spans="1:33" ht="15.75" customHeight="1" x14ac:dyDescent="0.35">
      <c r="A145" s="61" t="s">
        <v>56</v>
      </c>
      <c r="B145" s="48" t="s">
        <v>101</v>
      </c>
      <c r="C145" s="62" t="s">
        <v>279</v>
      </c>
      <c r="D145" s="115"/>
      <c r="E145" s="115"/>
      <c r="F145" s="115">
        <v>175</v>
      </c>
      <c r="G145" s="115">
        <v>15</v>
      </c>
      <c r="H145" s="124">
        <f t="shared" si="41"/>
        <v>175</v>
      </c>
      <c r="I145" s="115">
        <v>2</v>
      </c>
      <c r="J145" s="117">
        <v>17</v>
      </c>
      <c r="K145" s="115">
        <v>275</v>
      </c>
      <c r="L145" s="115">
        <v>15</v>
      </c>
      <c r="M145" s="115"/>
      <c r="N145" s="115"/>
      <c r="O145" s="115">
        <v>10</v>
      </c>
      <c r="P145" s="124">
        <f t="shared" si="51"/>
        <v>15</v>
      </c>
      <c r="Q145" s="117">
        <v>1</v>
      </c>
      <c r="R145" s="115" t="s">
        <v>65</v>
      </c>
      <c r="S145" s="142" t="s">
        <v>119</v>
      </c>
      <c r="T145" s="115"/>
      <c r="U145" s="118">
        <v>0.7</v>
      </c>
      <c r="V145" s="118">
        <v>0.6</v>
      </c>
      <c r="W145" s="118">
        <v>0.8</v>
      </c>
      <c r="X145" s="115"/>
      <c r="Y145" s="119">
        <v>3.5</v>
      </c>
      <c r="Z145" s="125">
        <f t="shared" si="50"/>
        <v>15</v>
      </c>
      <c r="AA145" s="126">
        <f t="shared" si="43"/>
        <v>10</v>
      </c>
      <c r="AB145" s="127">
        <f t="shared" si="44"/>
        <v>8.5714285714285715E-2</v>
      </c>
      <c r="AC145" s="126">
        <f t="shared" si="45"/>
        <v>7.5</v>
      </c>
      <c r="AD145" s="126">
        <f t="shared" si="46"/>
        <v>1.5714285714285714</v>
      </c>
      <c r="AE145" s="126">
        <f t="shared" si="47"/>
        <v>137.5</v>
      </c>
      <c r="AF145" s="126">
        <f t="shared" si="48"/>
        <v>5.2380952380952372</v>
      </c>
      <c r="AG145" s="128">
        <f t="shared" si="49"/>
        <v>3.9285714285714284</v>
      </c>
    </row>
    <row r="146" spans="1:33" ht="15.75" customHeight="1" x14ac:dyDescent="0.35">
      <c r="A146" s="61" t="s">
        <v>56</v>
      </c>
      <c r="B146" s="48" t="s">
        <v>101</v>
      </c>
      <c r="C146" s="62" t="s">
        <v>280</v>
      </c>
      <c r="D146" s="115">
        <v>175</v>
      </c>
      <c r="E146" s="115"/>
      <c r="F146" s="115"/>
      <c r="G146" s="115">
        <v>15</v>
      </c>
      <c r="H146" s="124">
        <f t="shared" si="41"/>
        <v>175</v>
      </c>
      <c r="I146" s="115">
        <v>2</v>
      </c>
      <c r="J146" s="117">
        <v>14</v>
      </c>
      <c r="K146" s="115">
        <v>550</v>
      </c>
      <c r="L146" s="115">
        <v>35</v>
      </c>
      <c r="M146" s="115"/>
      <c r="N146" s="115"/>
      <c r="O146" s="115"/>
      <c r="P146" s="124">
        <f t="shared" si="51"/>
        <v>35</v>
      </c>
      <c r="Q146" s="117">
        <v>1.5</v>
      </c>
      <c r="R146" s="115" t="s">
        <v>110</v>
      </c>
      <c r="S146" s="142" t="s">
        <v>111</v>
      </c>
      <c r="T146" s="115"/>
      <c r="U146" s="118">
        <v>0.4</v>
      </c>
      <c r="V146" s="118">
        <v>0.55000000000000004</v>
      </c>
      <c r="W146" s="118">
        <v>0.8</v>
      </c>
      <c r="X146" s="115"/>
      <c r="Y146" s="119">
        <v>5.3</v>
      </c>
      <c r="Z146" s="125">
        <f t="shared" si="50"/>
        <v>23.333333333333332</v>
      </c>
      <c r="AA146" s="126">
        <f t="shared" si="43"/>
        <v>0</v>
      </c>
      <c r="AB146" s="127">
        <f t="shared" si="44"/>
        <v>0.13333333333333333</v>
      </c>
      <c r="AC146" s="126">
        <f t="shared" si="45"/>
        <v>11.666666666666666</v>
      </c>
      <c r="AD146" s="126">
        <f t="shared" si="46"/>
        <v>3.1428571428571428</v>
      </c>
      <c r="AE146" s="126">
        <f t="shared" si="47"/>
        <v>275</v>
      </c>
      <c r="AF146" s="126">
        <f t="shared" si="48"/>
        <v>5.2380952380952381</v>
      </c>
      <c r="AG146" s="128">
        <f t="shared" si="49"/>
        <v>6.9841269841269851</v>
      </c>
    </row>
    <row r="147" spans="1:33" ht="15.75" customHeight="1" x14ac:dyDescent="0.35">
      <c r="A147" s="61" t="s">
        <v>56</v>
      </c>
      <c r="B147" s="48" t="s">
        <v>101</v>
      </c>
      <c r="C147" s="62" t="s">
        <v>281</v>
      </c>
      <c r="D147" s="115"/>
      <c r="E147" s="115"/>
      <c r="F147" s="115"/>
      <c r="G147" s="115"/>
      <c r="H147" s="124">
        <f t="shared" si="41"/>
        <v>0</v>
      </c>
      <c r="I147" s="115"/>
      <c r="J147" s="117"/>
      <c r="K147" s="115">
        <v>180</v>
      </c>
      <c r="L147" s="115">
        <v>21</v>
      </c>
      <c r="M147" s="115"/>
      <c r="N147" s="115"/>
      <c r="O147" s="115"/>
      <c r="P147" s="124">
        <f t="shared" si="51"/>
        <v>21</v>
      </c>
      <c r="Q147" s="117">
        <v>1.5</v>
      </c>
      <c r="R147" s="115"/>
      <c r="S147" s="142"/>
      <c r="T147" s="115"/>
      <c r="U147" s="118">
        <v>0.2</v>
      </c>
      <c r="V147" s="118">
        <v>0.4</v>
      </c>
      <c r="W147" s="118">
        <v>0.8</v>
      </c>
      <c r="X147" s="115"/>
      <c r="Y147" s="119">
        <v>6</v>
      </c>
      <c r="Z147" s="125">
        <f t="shared" si="50"/>
        <v>14</v>
      </c>
      <c r="AA147" s="126">
        <f t="shared" si="43"/>
        <v>0</v>
      </c>
      <c r="AB147" s="127">
        <f t="shared" si="44"/>
        <v>0</v>
      </c>
      <c r="AC147" s="126">
        <f t="shared" si="45"/>
        <v>0</v>
      </c>
      <c r="AD147" s="126">
        <f t="shared" si="46"/>
        <v>0</v>
      </c>
      <c r="AE147" s="126">
        <f t="shared" si="47"/>
        <v>0</v>
      </c>
      <c r="AF147" s="126">
        <f t="shared" si="48"/>
        <v>0</v>
      </c>
      <c r="AG147" s="128">
        <f t="shared" si="49"/>
        <v>0</v>
      </c>
    </row>
    <row r="148" spans="1:33" ht="15.75" customHeight="1" x14ac:dyDescent="0.35">
      <c r="A148" s="61" t="s">
        <v>56</v>
      </c>
      <c r="B148" s="48" t="s">
        <v>101</v>
      </c>
      <c r="C148" s="62" t="s">
        <v>282</v>
      </c>
      <c r="D148" s="115"/>
      <c r="E148" s="115"/>
      <c r="F148" s="115">
        <v>300</v>
      </c>
      <c r="G148" s="115">
        <v>28</v>
      </c>
      <c r="H148" s="124">
        <f t="shared" si="41"/>
        <v>300</v>
      </c>
      <c r="I148" s="115">
        <v>5</v>
      </c>
      <c r="J148" s="117">
        <v>24</v>
      </c>
      <c r="K148" s="115">
        <v>600</v>
      </c>
      <c r="L148" s="129">
        <f>45*2</f>
        <v>90</v>
      </c>
      <c r="M148" s="115"/>
      <c r="N148" s="115"/>
      <c r="O148" s="115">
        <v>15</v>
      </c>
      <c r="P148" s="124">
        <f t="shared" si="51"/>
        <v>90</v>
      </c>
      <c r="Q148" s="117">
        <v>3</v>
      </c>
      <c r="R148" s="115" t="s">
        <v>65</v>
      </c>
      <c r="S148" s="142" t="s">
        <v>111</v>
      </c>
      <c r="T148" s="115"/>
      <c r="U148" s="118">
        <v>0.6</v>
      </c>
      <c r="V148" s="118">
        <v>0.7</v>
      </c>
      <c r="W148" s="118">
        <v>0.8</v>
      </c>
      <c r="X148" s="115">
        <v>14</v>
      </c>
      <c r="Y148" s="119">
        <v>3.2</v>
      </c>
      <c r="Z148" s="125">
        <f t="shared" si="50"/>
        <v>30</v>
      </c>
      <c r="AA148" s="126">
        <f t="shared" si="43"/>
        <v>5</v>
      </c>
      <c r="AB148" s="127">
        <f t="shared" si="44"/>
        <v>0.1</v>
      </c>
      <c r="AC148" s="126">
        <f t="shared" si="45"/>
        <v>6</v>
      </c>
      <c r="AD148" s="126">
        <f t="shared" si="46"/>
        <v>2</v>
      </c>
      <c r="AE148" s="126">
        <f t="shared" si="47"/>
        <v>120</v>
      </c>
      <c r="AF148" s="126">
        <f t="shared" si="48"/>
        <v>5</v>
      </c>
      <c r="AG148" s="128">
        <f t="shared" si="49"/>
        <v>6.6666666666666661</v>
      </c>
    </row>
    <row r="149" spans="1:33" ht="15.75" customHeight="1" x14ac:dyDescent="0.35">
      <c r="A149" s="61" t="s">
        <v>56</v>
      </c>
      <c r="B149" s="48" t="s">
        <v>101</v>
      </c>
      <c r="C149" s="62" t="s">
        <v>283</v>
      </c>
      <c r="D149" s="115"/>
      <c r="E149" s="115"/>
      <c r="F149" s="115">
        <v>200</v>
      </c>
      <c r="G149" s="115">
        <v>22</v>
      </c>
      <c r="H149" s="124">
        <f t="shared" si="41"/>
        <v>200</v>
      </c>
      <c r="I149" s="115">
        <v>4</v>
      </c>
      <c r="J149" s="117">
        <v>20</v>
      </c>
      <c r="K149" s="115">
        <v>600</v>
      </c>
      <c r="L149" s="115">
        <v>36</v>
      </c>
      <c r="M149" s="115"/>
      <c r="N149" s="115"/>
      <c r="O149" s="115">
        <v>24</v>
      </c>
      <c r="P149" s="124">
        <f t="shared" si="51"/>
        <v>36</v>
      </c>
      <c r="Q149" s="117">
        <v>2</v>
      </c>
      <c r="R149" s="115" t="s">
        <v>65</v>
      </c>
      <c r="S149" s="142" t="s">
        <v>119</v>
      </c>
      <c r="T149" s="115"/>
      <c r="U149" s="118">
        <v>0.55000000000000004</v>
      </c>
      <c r="V149" s="118">
        <v>0.7</v>
      </c>
      <c r="W149" s="118">
        <v>0.8</v>
      </c>
      <c r="X149" s="115"/>
      <c r="Y149" s="119"/>
      <c r="Z149" s="125">
        <f t="shared" si="50"/>
        <v>18</v>
      </c>
      <c r="AA149" s="126">
        <f t="shared" si="43"/>
        <v>12</v>
      </c>
      <c r="AB149" s="127">
        <f t="shared" si="44"/>
        <v>0.09</v>
      </c>
      <c r="AC149" s="126">
        <f t="shared" si="45"/>
        <v>4.5</v>
      </c>
      <c r="AD149" s="126">
        <f t="shared" si="46"/>
        <v>3</v>
      </c>
      <c r="AE149" s="126">
        <f t="shared" si="47"/>
        <v>150</v>
      </c>
      <c r="AF149" s="126">
        <f t="shared" si="48"/>
        <v>6.6666666666666679</v>
      </c>
      <c r="AG149" s="128">
        <f t="shared" si="49"/>
        <v>9.9999999999999982</v>
      </c>
    </row>
    <row r="150" spans="1:33" ht="15.75" customHeight="1" x14ac:dyDescent="0.35">
      <c r="A150" s="61" t="s">
        <v>284</v>
      </c>
      <c r="B150" s="48" t="s">
        <v>101</v>
      </c>
      <c r="C150" s="62" t="s">
        <v>285</v>
      </c>
      <c r="D150" s="115"/>
      <c r="E150" s="115">
        <v>80</v>
      </c>
      <c r="F150" s="115">
        <v>40</v>
      </c>
      <c r="G150" s="115"/>
      <c r="H150" s="124">
        <f t="shared" si="41"/>
        <v>120</v>
      </c>
      <c r="I150" s="115">
        <v>3</v>
      </c>
      <c r="J150" s="117">
        <v>23</v>
      </c>
      <c r="K150" s="115">
        <v>85</v>
      </c>
      <c r="L150" s="115"/>
      <c r="M150" s="115">
        <v>6.5</v>
      </c>
      <c r="N150" s="115"/>
      <c r="O150" s="115"/>
      <c r="P150" s="124">
        <f t="shared" si="51"/>
        <v>6.5</v>
      </c>
      <c r="Q150" s="117">
        <v>1.5</v>
      </c>
      <c r="R150" s="115" t="s">
        <v>286</v>
      </c>
      <c r="S150" s="142"/>
      <c r="T150" s="115"/>
      <c r="U150" s="118">
        <v>0.2</v>
      </c>
      <c r="V150" s="118">
        <v>0.15</v>
      </c>
      <c r="W150" s="118">
        <v>0.99</v>
      </c>
      <c r="X150" s="115">
        <v>16</v>
      </c>
      <c r="Y150" s="119">
        <v>4</v>
      </c>
      <c r="Z150" s="125">
        <f t="shared" si="50"/>
        <v>4.333333333333333</v>
      </c>
      <c r="AA150" s="126">
        <f t="shared" si="43"/>
        <v>0</v>
      </c>
      <c r="AB150" s="127">
        <f t="shared" si="44"/>
        <v>3.6111111111111108E-2</v>
      </c>
      <c r="AC150" s="126">
        <f t="shared" si="45"/>
        <v>1.4444444444444444</v>
      </c>
      <c r="AD150" s="126">
        <f t="shared" si="46"/>
        <v>0.70833333333333337</v>
      </c>
      <c r="AE150" s="126">
        <f t="shared" si="47"/>
        <v>28.333333333333332</v>
      </c>
      <c r="AF150" s="126">
        <f t="shared" si="48"/>
        <v>0.88541666666666663</v>
      </c>
      <c r="AG150" s="128">
        <f t="shared" si="49"/>
        <v>0.83333333333333337</v>
      </c>
    </row>
    <row r="151" spans="1:33" ht="15.75" customHeight="1" x14ac:dyDescent="0.35">
      <c r="A151" s="61" t="s">
        <v>115</v>
      </c>
      <c r="B151" s="48" t="s">
        <v>101</v>
      </c>
      <c r="C151" s="62" t="s">
        <v>287</v>
      </c>
      <c r="D151" s="115"/>
      <c r="E151" s="115"/>
      <c r="F151" s="115"/>
      <c r="G151" s="115"/>
      <c r="H151" s="124">
        <f t="shared" si="41"/>
        <v>0</v>
      </c>
      <c r="I151" s="115">
        <v>3</v>
      </c>
      <c r="J151" s="117"/>
      <c r="K151" s="115">
        <v>110</v>
      </c>
      <c r="L151" s="115">
        <v>8</v>
      </c>
      <c r="M151" s="115"/>
      <c r="N151" s="115"/>
      <c r="O151" s="115"/>
      <c r="P151" s="124">
        <f t="shared" si="51"/>
        <v>8</v>
      </c>
      <c r="Q151" s="117">
        <v>1.3</v>
      </c>
      <c r="R151" s="115"/>
      <c r="S151" s="142"/>
      <c r="T151" s="115"/>
      <c r="U151" s="118">
        <v>0.25</v>
      </c>
      <c r="V151" s="118">
        <v>0.1</v>
      </c>
      <c r="W151" s="118">
        <v>0.99</v>
      </c>
      <c r="X151" s="115"/>
      <c r="Y151" s="119">
        <v>4</v>
      </c>
      <c r="Z151" s="125">
        <f t="shared" si="50"/>
        <v>6.1538461538461533</v>
      </c>
      <c r="AA151" s="126">
        <f t="shared" si="43"/>
        <v>0</v>
      </c>
      <c r="AB151" s="127">
        <f t="shared" si="44"/>
        <v>0</v>
      </c>
      <c r="AC151" s="126">
        <f t="shared" si="45"/>
        <v>2.0512820512820511</v>
      </c>
      <c r="AD151" s="126">
        <f t="shared" si="46"/>
        <v>0</v>
      </c>
      <c r="AE151" s="126">
        <f t="shared" si="47"/>
        <v>36.666666666666664</v>
      </c>
      <c r="AF151" s="126">
        <f t="shared" si="48"/>
        <v>0</v>
      </c>
      <c r="AG151" s="128">
        <f t="shared" si="49"/>
        <v>0</v>
      </c>
    </row>
    <row r="152" spans="1:33" ht="15.75" customHeight="1" x14ac:dyDescent="0.35">
      <c r="A152" s="61" t="s">
        <v>80</v>
      </c>
      <c r="B152" s="48" t="s">
        <v>101</v>
      </c>
      <c r="C152" s="62" t="s">
        <v>288</v>
      </c>
      <c r="D152" s="115">
        <v>80</v>
      </c>
      <c r="E152" s="115"/>
      <c r="F152" s="115">
        <v>40</v>
      </c>
      <c r="G152" s="115"/>
      <c r="H152" s="124">
        <f t="shared" si="41"/>
        <v>120</v>
      </c>
      <c r="I152" s="115">
        <v>3</v>
      </c>
      <c r="J152" s="117">
        <v>23</v>
      </c>
      <c r="K152" s="115">
        <v>143</v>
      </c>
      <c r="L152" s="115">
        <v>8.8000000000000007</v>
      </c>
      <c r="M152" s="115"/>
      <c r="N152" s="115"/>
      <c r="O152" s="115"/>
      <c r="P152" s="124">
        <f t="shared" si="51"/>
        <v>8.8000000000000007</v>
      </c>
      <c r="Q152" s="117">
        <v>1.2</v>
      </c>
      <c r="R152" s="115" t="s">
        <v>286</v>
      </c>
      <c r="S152" s="142"/>
      <c r="T152" s="115"/>
      <c r="U152" s="118">
        <v>0.2</v>
      </c>
      <c r="V152" s="118">
        <v>0.15</v>
      </c>
      <c r="W152" s="118">
        <v>0.99</v>
      </c>
      <c r="X152" s="115"/>
      <c r="Y152" s="119">
        <v>4.5</v>
      </c>
      <c r="Z152" s="125">
        <f t="shared" si="50"/>
        <v>7.3333333333333339</v>
      </c>
      <c r="AA152" s="126">
        <f t="shared" si="43"/>
        <v>0</v>
      </c>
      <c r="AB152" s="127">
        <f t="shared" si="44"/>
        <v>6.1111111111111116E-2</v>
      </c>
      <c r="AC152" s="126">
        <f t="shared" si="45"/>
        <v>2.4444444444444446</v>
      </c>
      <c r="AD152" s="126">
        <f t="shared" si="46"/>
        <v>1.1916666666666667</v>
      </c>
      <c r="AE152" s="126">
        <f t="shared" si="47"/>
        <v>47.666666666666664</v>
      </c>
      <c r="AF152" s="126">
        <f t="shared" si="48"/>
        <v>1.4895833333333333</v>
      </c>
      <c r="AG152" s="128">
        <f t="shared" si="49"/>
        <v>1.4019607843137256</v>
      </c>
    </row>
    <row r="153" spans="1:33" ht="15.75" customHeight="1" x14ac:dyDescent="0.35">
      <c r="A153" s="61" t="s">
        <v>248</v>
      </c>
      <c r="B153" s="48" t="s">
        <v>54</v>
      </c>
      <c r="C153" s="62" t="s">
        <v>289</v>
      </c>
      <c r="D153" s="115"/>
      <c r="E153" s="115">
        <v>105</v>
      </c>
      <c r="F153" s="115">
        <v>60</v>
      </c>
      <c r="G153" s="115">
        <v>2</v>
      </c>
      <c r="H153" s="124">
        <f t="shared" si="41"/>
        <v>165</v>
      </c>
      <c r="I153" s="115">
        <v>2</v>
      </c>
      <c r="J153" s="117">
        <v>24</v>
      </c>
      <c r="K153" s="115">
        <v>70</v>
      </c>
      <c r="L153" s="115"/>
      <c r="M153" s="115">
        <v>6</v>
      </c>
      <c r="N153" s="115"/>
      <c r="O153" s="115"/>
      <c r="P153" s="124">
        <f t="shared" si="51"/>
        <v>6</v>
      </c>
      <c r="Q153" s="117">
        <v>1</v>
      </c>
      <c r="R153" s="115" t="s">
        <v>262</v>
      </c>
      <c r="S153" s="142" t="s">
        <v>286</v>
      </c>
      <c r="T153" s="115"/>
      <c r="U153" s="118">
        <v>0.15</v>
      </c>
      <c r="V153" s="118">
        <v>0.15</v>
      </c>
      <c r="W153" s="118">
        <v>0.99</v>
      </c>
      <c r="X153" s="115">
        <v>20</v>
      </c>
      <c r="Y153" s="119">
        <v>4.3</v>
      </c>
      <c r="Z153" s="125">
        <f t="shared" si="50"/>
        <v>6</v>
      </c>
      <c r="AA153" s="126">
        <f t="shared" si="43"/>
        <v>0</v>
      </c>
      <c r="AB153" s="127">
        <f t="shared" si="44"/>
        <v>3.6363636363636362E-2</v>
      </c>
      <c r="AC153" s="126">
        <f t="shared" si="45"/>
        <v>3</v>
      </c>
      <c r="AD153" s="126">
        <f t="shared" si="46"/>
        <v>0.42424242424242425</v>
      </c>
      <c r="AE153" s="126">
        <f t="shared" si="47"/>
        <v>35</v>
      </c>
      <c r="AF153" s="126">
        <f t="shared" si="48"/>
        <v>0.49910873440285208</v>
      </c>
      <c r="AG153" s="128">
        <f t="shared" si="49"/>
        <v>0.49910873440285208</v>
      </c>
    </row>
    <row r="154" spans="1:33" ht="15.75" customHeight="1" x14ac:dyDescent="0.35">
      <c r="A154" s="61" t="s">
        <v>248</v>
      </c>
      <c r="B154" s="48" t="s">
        <v>77</v>
      </c>
      <c r="C154" s="62" t="s">
        <v>290</v>
      </c>
      <c r="D154" s="115"/>
      <c r="E154" s="115">
        <v>100</v>
      </c>
      <c r="F154" s="115">
        <v>60</v>
      </c>
      <c r="G154" s="115"/>
      <c r="H154" s="124">
        <f t="shared" si="41"/>
        <v>160</v>
      </c>
      <c r="I154" s="115">
        <v>3</v>
      </c>
      <c r="J154" s="117">
        <v>18</v>
      </c>
      <c r="K154" s="115">
        <v>60</v>
      </c>
      <c r="L154" s="115"/>
      <c r="M154" s="115">
        <v>12</v>
      </c>
      <c r="N154" s="115"/>
      <c r="O154" s="115"/>
      <c r="P154" s="124">
        <f t="shared" si="51"/>
        <v>12</v>
      </c>
      <c r="Q154" s="117">
        <v>2.1</v>
      </c>
      <c r="R154" s="115" t="s">
        <v>291</v>
      </c>
      <c r="S154" s="142"/>
      <c r="T154" s="115"/>
      <c r="U154" s="118">
        <v>0.05</v>
      </c>
      <c r="V154" s="118">
        <v>0.15</v>
      </c>
      <c r="W154" s="118">
        <v>0.99</v>
      </c>
      <c r="X154" s="115">
        <v>23</v>
      </c>
      <c r="Y154" s="119">
        <v>3.8</v>
      </c>
      <c r="Z154" s="125">
        <f t="shared" si="50"/>
        <v>5.7142857142857144</v>
      </c>
      <c r="AA154" s="126">
        <f t="shared" si="43"/>
        <v>0</v>
      </c>
      <c r="AB154" s="127">
        <f t="shared" si="44"/>
        <v>3.5714285714285712E-2</v>
      </c>
      <c r="AC154" s="126">
        <f t="shared" si="45"/>
        <v>1.9047619047619049</v>
      </c>
      <c r="AD154" s="126">
        <f t="shared" si="46"/>
        <v>0.375</v>
      </c>
      <c r="AE154" s="126">
        <f t="shared" si="47"/>
        <v>20</v>
      </c>
      <c r="AF154" s="126">
        <f t="shared" si="48"/>
        <v>0.39473684210526316</v>
      </c>
      <c r="AG154" s="128">
        <f t="shared" si="49"/>
        <v>0.44117647058823534</v>
      </c>
    </row>
    <row r="155" spans="1:33" ht="15.75" customHeight="1" x14ac:dyDescent="0.35">
      <c r="A155" s="61" t="s">
        <v>53</v>
      </c>
      <c r="B155" s="48" t="s">
        <v>54</v>
      </c>
      <c r="C155" s="62" t="s">
        <v>292</v>
      </c>
      <c r="D155" s="115">
        <v>40</v>
      </c>
      <c r="E155" s="115"/>
      <c r="F155" s="115">
        <v>60</v>
      </c>
      <c r="G155" s="115"/>
      <c r="H155" s="124">
        <f t="shared" si="41"/>
        <v>100</v>
      </c>
      <c r="I155" s="115"/>
      <c r="J155" s="117">
        <v>11</v>
      </c>
      <c r="K155" s="115"/>
      <c r="L155" s="115"/>
      <c r="M155" s="115"/>
      <c r="N155" s="115"/>
      <c r="O155" s="115"/>
      <c r="P155" s="124">
        <f t="shared" si="51"/>
        <v>0</v>
      </c>
      <c r="Q155" s="117"/>
      <c r="R155" s="115"/>
      <c r="S155" s="142"/>
      <c r="T155" s="115"/>
      <c r="U155" s="118">
        <v>0.15</v>
      </c>
      <c r="V155" s="118">
        <v>0.45</v>
      </c>
      <c r="W155" s="118">
        <v>0.99</v>
      </c>
      <c r="X155" s="115"/>
      <c r="Y155" s="119">
        <v>3.5</v>
      </c>
      <c r="Z155" s="125">
        <f t="shared" si="50"/>
        <v>0</v>
      </c>
      <c r="AA155" s="126">
        <f t="shared" si="43"/>
        <v>0</v>
      </c>
      <c r="AB155" s="127">
        <f t="shared" si="44"/>
        <v>0</v>
      </c>
      <c r="AC155" s="126">
        <f t="shared" si="45"/>
        <v>0</v>
      </c>
      <c r="AD155" s="126">
        <f t="shared" si="46"/>
        <v>0</v>
      </c>
      <c r="AE155" s="126">
        <f t="shared" si="47"/>
        <v>0</v>
      </c>
      <c r="AF155" s="126">
        <f t="shared" si="48"/>
        <v>0</v>
      </c>
      <c r="AG155" s="128">
        <f t="shared" si="49"/>
        <v>0</v>
      </c>
    </row>
    <row r="156" spans="1:33" ht="15.75" customHeight="1" x14ac:dyDescent="0.35">
      <c r="A156" s="61" t="s">
        <v>56</v>
      </c>
      <c r="B156" s="48" t="s">
        <v>101</v>
      </c>
      <c r="C156" s="62" t="s">
        <v>293</v>
      </c>
      <c r="D156" s="115">
        <v>200</v>
      </c>
      <c r="E156" s="115"/>
      <c r="F156" s="115"/>
      <c r="G156" s="115">
        <v>15</v>
      </c>
      <c r="H156" s="124">
        <f t="shared" si="41"/>
        <v>200</v>
      </c>
      <c r="I156" s="115">
        <v>4</v>
      </c>
      <c r="J156" s="117">
        <v>10</v>
      </c>
      <c r="K156" s="115">
        <v>1200</v>
      </c>
      <c r="L156" s="115"/>
      <c r="M156" s="115">
        <v>60</v>
      </c>
      <c r="N156" s="115"/>
      <c r="O156" s="115"/>
      <c r="P156" s="124">
        <f t="shared" si="51"/>
        <v>60</v>
      </c>
      <c r="Q156" s="117">
        <v>1.5</v>
      </c>
      <c r="R156" s="115" t="s">
        <v>110</v>
      </c>
      <c r="S156" s="142" t="s">
        <v>119</v>
      </c>
      <c r="T156" s="115"/>
      <c r="U156" s="118">
        <v>0.45</v>
      </c>
      <c r="V156" s="118">
        <v>0.6</v>
      </c>
      <c r="W156" s="118">
        <v>0.8</v>
      </c>
      <c r="X156" s="115">
        <v>16</v>
      </c>
      <c r="Y156" s="119">
        <v>6</v>
      </c>
      <c r="Z156" s="125">
        <f t="shared" si="50"/>
        <v>40</v>
      </c>
      <c r="AA156" s="126">
        <f t="shared" si="43"/>
        <v>0</v>
      </c>
      <c r="AB156" s="127">
        <f t="shared" si="44"/>
        <v>0.2</v>
      </c>
      <c r="AC156" s="126">
        <f t="shared" si="45"/>
        <v>10</v>
      </c>
      <c r="AD156" s="126">
        <f t="shared" si="46"/>
        <v>6</v>
      </c>
      <c r="AE156" s="126">
        <f t="shared" si="47"/>
        <v>300</v>
      </c>
      <c r="AF156" s="126">
        <f t="shared" si="48"/>
        <v>10.909090909090908</v>
      </c>
      <c r="AG156" s="128">
        <f t="shared" si="49"/>
        <v>15</v>
      </c>
    </row>
    <row r="157" spans="1:33" ht="15.75" customHeight="1" x14ac:dyDescent="0.35">
      <c r="A157" s="61" t="s">
        <v>56</v>
      </c>
      <c r="B157" s="48" t="s">
        <v>101</v>
      </c>
      <c r="C157" s="62" t="s">
        <v>294</v>
      </c>
      <c r="D157" s="115">
        <v>300</v>
      </c>
      <c r="E157" s="115"/>
      <c r="F157" s="115"/>
      <c r="G157" s="115">
        <v>20</v>
      </c>
      <c r="H157" s="124">
        <f t="shared" si="41"/>
        <v>300</v>
      </c>
      <c r="I157" s="115">
        <v>4</v>
      </c>
      <c r="J157" s="117">
        <v>10</v>
      </c>
      <c r="K157" s="115">
        <v>800</v>
      </c>
      <c r="L157" s="115">
        <v>54</v>
      </c>
      <c r="M157" s="115"/>
      <c r="N157" s="115"/>
      <c r="O157" s="115">
        <v>18</v>
      </c>
      <c r="P157" s="124">
        <f t="shared" si="51"/>
        <v>54</v>
      </c>
      <c r="Q157" s="117">
        <v>3.6</v>
      </c>
      <c r="R157" s="115" t="s">
        <v>110</v>
      </c>
      <c r="S157" s="142" t="s">
        <v>119</v>
      </c>
      <c r="T157" s="115"/>
      <c r="U157" s="118">
        <v>0.5</v>
      </c>
      <c r="V157" s="118">
        <v>0.7</v>
      </c>
      <c r="W157" s="118">
        <v>0.8</v>
      </c>
      <c r="X157" s="115">
        <v>1</v>
      </c>
      <c r="Y157" s="119">
        <v>6</v>
      </c>
      <c r="Z157" s="125">
        <f t="shared" si="50"/>
        <v>15</v>
      </c>
      <c r="AA157" s="126">
        <f t="shared" si="43"/>
        <v>5</v>
      </c>
      <c r="AB157" s="127">
        <f t="shared" si="44"/>
        <v>0.05</v>
      </c>
      <c r="AC157" s="126">
        <f t="shared" si="45"/>
        <v>3.75</v>
      </c>
      <c r="AD157" s="126">
        <f t="shared" si="46"/>
        <v>2.6666666666666665</v>
      </c>
      <c r="AE157" s="126">
        <f t="shared" si="47"/>
        <v>200</v>
      </c>
      <c r="AF157" s="126">
        <f t="shared" si="48"/>
        <v>5.333333333333333</v>
      </c>
      <c r="AG157" s="128">
        <f t="shared" si="49"/>
        <v>8.8888888888888875</v>
      </c>
    </row>
    <row r="158" spans="1:33" ht="15.75" customHeight="1" x14ac:dyDescent="0.35">
      <c r="A158" s="61" t="s">
        <v>66</v>
      </c>
      <c r="B158" s="48" t="s">
        <v>101</v>
      </c>
      <c r="C158" s="62" t="s">
        <v>295</v>
      </c>
      <c r="D158" s="115"/>
      <c r="E158" s="115">
        <v>100</v>
      </c>
      <c r="F158" s="115">
        <v>50</v>
      </c>
      <c r="G158" s="115"/>
      <c r="H158" s="124">
        <f t="shared" si="41"/>
        <v>150</v>
      </c>
      <c r="I158" s="115">
        <v>3</v>
      </c>
      <c r="J158" s="117">
        <v>17</v>
      </c>
      <c r="K158" s="115">
        <v>290</v>
      </c>
      <c r="L158" s="115"/>
      <c r="M158" s="129">
        <f>9*3</f>
        <v>27</v>
      </c>
      <c r="N158" s="115"/>
      <c r="O158" s="115"/>
      <c r="P158" s="124">
        <f t="shared" si="51"/>
        <v>27</v>
      </c>
      <c r="Q158" s="117">
        <v>1.5</v>
      </c>
      <c r="R158" s="115"/>
      <c r="S158" s="142"/>
      <c r="T158" s="115"/>
      <c r="U158" s="118">
        <v>0.5</v>
      </c>
      <c r="V158" s="118">
        <v>0.3</v>
      </c>
      <c r="W158" s="118">
        <v>0.05</v>
      </c>
      <c r="X158" s="115">
        <v>15</v>
      </c>
      <c r="Y158" s="119">
        <v>5.5</v>
      </c>
      <c r="Z158" s="125">
        <f t="shared" si="50"/>
        <v>18</v>
      </c>
      <c r="AA158" s="126">
        <f t="shared" si="43"/>
        <v>0</v>
      </c>
      <c r="AB158" s="127">
        <f t="shared" si="44"/>
        <v>0.12</v>
      </c>
      <c r="AC158" s="126">
        <f t="shared" si="45"/>
        <v>6</v>
      </c>
      <c r="AD158" s="126">
        <f t="shared" si="46"/>
        <v>1.9333333333333333</v>
      </c>
      <c r="AE158" s="126">
        <f t="shared" si="47"/>
        <v>96.666666666666671</v>
      </c>
      <c r="AF158" s="126">
        <f t="shared" si="48"/>
        <v>3.8666666666666667</v>
      </c>
      <c r="AG158" s="128">
        <f t="shared" si="49"/>
        <v>2.7619047619047623</v>
      </c>
    </row>
    <row r="159" spans="1:33" ht="15.75" customHeight="1" x14ac:dyDescent="0.35">
      <c r="A159" s="61" t="s">
        <v>56</v>
      </c>
      <c r="B159" s="48" t="s">
        <v>101</v>
      </c>
      <c r="C159" s="62" t="s">
        <v>296</v>
      </c>
      <c r="D159" s="115">
        <v>250</v>
      </c>
      <c r="E159" s="115"/>
      <c r="F159" s="115"/>
      <c r="G159" s="115">
        <v>25</v>
      </c>
      <c r="H159" s="124">
        <f t="shared" si="41"/>
        <v>250</v>
      </c>
      <c r="I159" s="115">
        <v>4</v>
      </c>
      <c r="J159" s="117">
        <v>17</v>
      </c>
      <c r="K159" s="115">
        <v>1200</v>
      </c>
      <c r="L159" s="115">
        <v>26</v>
      </c>
      <c r="M159" s="115"/>
      <c r="N159" s="115"/>
      <c r="O159" s="115">
        <v>32</v>
      </c>
      <c r="P159" s="124">
        <f t="shared" si="51"/>
        <v>26</v>
      </c>
      <c r="Q159" s="117">
        <v>1.3</v>
      </c>
      <c r="R159" s="115" t="s">
        <v>119</v>
      </c>
      <c r="S159" s="142"/>
      <c r="T159" s="115"/>
      <c r="U159" s="118">
        <v>0.5</v>
      </c>
      <c r="V159" s="118">
        <v>0.4</v>
      </c>
      <c r="W159" s="118">
        <v>0.8</v>
      </c>
      <c r="X159" s="115">
        <v>1</v>
      </c>
      <c r="Y159" s="119">
        <v>3.2</v>
      </c>
      <c r="Z159" s="125">
        <f t="shared" si="50"/>
        <v>20</v>
      </c>
      <c r="AA159" s="126">
        <f t="shared" si="43"/>
        <v>24.615384615384613</v>
      </c>
      <c r="AB159" s="127">
        <f t="shared" si="44"/>
        <v>0.08</v>
      </c>
      <c r="AC159" s="126">
        <f t="shared" si="45"/>
        <v>5</v>
      </c>
      <c r="AD159" s="126">
        <f t="shared" si="46"/>
        <v>4.8</v>
      </c>
      <c r="AE159" s="126">
        <f t="shared" si="47"/>
        <v>300</v>
      </c>
      <c r="AF159" s="126">
        <f t="shared" si="48"/>
        <v>9.6</v>
      </c>
      <c r="AG159" s="128">
        <f t="shared" si="49"/>
        <v>8</v>
      </c>
    </row>
    <row r="160" spans="1:33" ht="15.75" customHeight="1" x14ac:dyDescent="0.35">
      <c r="A160" s="61" t="s">
        <v>56</v>
      </c>
      <c r="B160" s="48" t="s">
        <v>101</v>
      </c>
      <c r="C160" s="62" t="s">
        <v>297</v>
      </c>
      <c r="D160" s="115"/>
      <c r="E160" s="115"/>
      <c r="F160" s="115"/>
      <c r="G160" s="115"/>
      <c r="H160" s="124">
        <f t="shared" si="41"/>
        <v>0</v>
      </c>
      <c r="I160" s="115"/>
      <c r="J160" s="117"/>
      <c r="K160" s="115">
        <v>2500</v>
      </c>
      <c r="L160" s="115">
        <v>40</v>
      </c>
      <c r="M160" s="115"/>
      <c r="N160" s="115"/>
      <c r="O160" s="115">
        <v>40</v>
      </c>
      <c r="P160" s="124">
        <f t="shared" si="51"/>
        <v>40</v>
      </c>
      <c r="Q160" s="117">
        <v>2</v>
      </c>
      <c r="R160" s="115"/>
      <c r="S160" s="142"/>
      <c r="T160" s="115"/>
      <c r="U160" s="118">
        <v>0.5</v>
      </c>
      <c r="V160" s="118">
        <v>0.5</v>
      </c>
      <c r="W160" s="118">
        <v>0.8</v>
      </c>
      <c r="X160" s="115">
        <v>4</v>
      </c>
      <c r="Y160" s="119">
        <v>4.3</v>
      </c>
      <c r="Z160" s="125">
        <f t="shared" si="50"/>
        <v>20</v>
      </c>
      <c r="AA160" s="126">
        <f t="shared" si="43"/>
        <v>20</v>
      </c>
      <c r="AB160" s="127">
        <f t="shared" si="44"/>
        <v>0</v>
      </c>
      <c r="AC160" s="126">
        <f t="shared" si="45"/>
        <v>0</v>
      </c>
      <c r="AD160" s="126">
        <f t="shared" si="46"/>
        <v>0</v>
      </c>
      <c r="AE160" s="126">
        <f t="shared" si="47"/>
        <v>0</v>
      </c>
      <c r="AF160" s="126">
        <f t="shared" si="48"/>
        <v>0</v>
      </c>
      <c r="AG160" s="128">
        <f t="shared" si="49"/>
        <v>0</v>
      </c>
    </row>
    <row r="161" spans="1:33" ht="15.75" customHeight="1" x14ac:dyDescent="0.35">
      <c r="A161" s="61" t="s">
        <v>97</v>
      </c>
      <c r="B161" s="48" t="s">
        <v>77</v>
      </c>
      <c r="C161" s="62" t="s">
        <v>298</v>
      </c>
      <c r="D161" s="115"/>
      <c r="E161" s="115">
        <v>100</v>
      </c>
      <c r="F161" s="115">
        <v>50</v>
      </c>
      <c r="G161" s="115"/>
      <c r="H161" s="124">
        <f t="shared" si="41"/>
        <v>150</v>
      </c>
      <c r="I161" s="115">
        <v>3</v>
      </c>
      <c r="J161" s="117">
        <v>17</v>
      </c>
      <c r="K161" s="115">
        <v>350</v>
      </c>
      <c r="L161" s="115">
        <v>25</v>
      </c>
      <c r="M161" s="115"/>
      <c r="N161" s="115"/>
      <c r="O161" s="115"/>
      <c r="P161" s="124">
        <f t="shared" si="51"/>
        <v>25</v>
      </c>
      <c r="Q161" s="117">
        <v>1.5</v>
      </c>
      <c r="R161" s="115"/>
      <c r="S161" s="142"/>
      <c r="T161" s="115"/>
      <c r="U161" s="118">
        <v>0.3</v>
      </c>
      <c r="V161" s="118">
        <v>0.1</v>
      </c>
      <c r="W161" s="118">
        <v>0.5</v>
      </c>
      <c r="X161" s="115">
        <v>2</v>
      </c>
      <c r="Y161" s="119">
        <v>7</v>
      </c>
      <c r="Z161" s="125">
        <f t="shared" si="50"/>
        <v>16.666666666666668</v>
      </c>
      <c r="AA161" s="126">
        <f t="shared" si="43"/>
        <v>0</v>
      </c>
      <c r="AB161" s="127">
        <f t="shared" si="44"/>
        <v>0.11111111111111112</v>
      </c>
      <c r="AC161" s="126">
        <f t="shared" si="45"/>
        <v>5.5555555555555562</v>
      </c>
      <c r="AD161" s="126">
        <f t="shared" si="46"/>
        <v>2.3333333333333335</v>
      </c>
      <c r="AE161" s="126">
        <f t="shared" si="47"/>
        <v>116.66666666666667</v>
      </c>
      <c r="AF161" s="126">
        <f t="shared" si="48"/>
        <v>3.3333333333333339</v>
      </c>
      <c r="AG161" s="128">
        <f t="shared" si="49"/>
        <v>2.5925925925925926</v>
      </c>
    </row>
    <row r="162" spans="1:33" ht="15.75" customHeight="1" x14ac:dyDescent="0.35">
      <c r="A162" s="61" t="s">
        <v>99</v>
      </c>
      <c r="B162" s="48" t="s">
        <v>101</v>
      </c>
      <c r="C162" s="62" t="s">
        <v>299</v>
      </c>
      <c r="D162" s="115"/>
      <c r="E162" s="115">
        <v>125</v>
      </c>
      <c r="F162" s="115">
        <v>125</v>
      </c>
      <c r="G162" s="115"/>
      <c r="H162" s="124">
        <f t="shared" ref="H162:H169" si="52">SUM(D162:F162)</f>
        <v>250</v>
      </c>
      <c r="I162" s="115">
        <v>3</v>
      </c>
      <c r="J162" s="117">
        <v>13</v>
      </c>
      <c r="K162" s="115">
        <v>275</v>
      </c>
      <c r="L162" s="115">
        <v>5</v>
      </c>
      <c r="M162" s="115"/>
      <c r="N162" s="115"/>
      <c r="O162" s="115">
        <v>40</v>
      </c>
      <c r="P162" s="124">
        <f t="shared" si="51"/>
        <v>5</v>
      </c>
      <c r="Q162" s="117">
        <v>1</v>
      </c>
      <c r="R162" s="115"/>
      <c r="S162" s="142"/>
      <c r="T162" s="115"/>
      <c r="U162" s="118">
        <v>0.1</v>
      </c>
      <c r="V162" s="118">
        <v>0.9</v>
      </c>
      <c r="W162" s="118">
        <v>0.6</v>
      </c>
      <c r="X162" s="115">
        <v>2</v>
      </c>
      <c r="Y162" s="119">
        <v>3.5</v>
      </c>
      <c r="Z162" s="125">
        <f t="shared" si="50"/>
        <v>5</v>
      </c>
      <c r="AA162" s="126">
        <f t="shared" ref="AA162:AA169" si="53">IFERROR(O162/Q162,0)</f>
        <v>40</v>
      </c>
      <c r="AB162" s="127">
        <f t="shared" ref="AB162:AB169" si="54">IFERROR(Z162/H162,0)</f>
        <v>0.02</v>
      </c>
      <c r="AC162" s="126">
        <f t="shared" ref="AC162:AC169" si="55">IFERROR(Z162/I162,0)</f>
        <v>1.6666666666666667</v>
      </c>
      <c r="AD162" s="126">
        <f t="shared" ref="AD162:AD169" si="56">IFERROR(K162/H162,0)</f>
        <v>1.1000000000000001</v>
      </c>
      <c r="AE162" s="126">
        <f t="shared" ref="AE162:AE169" si="57">IFERROR(K162/I162,0)</f>
        <v>91.666666666666671</v>
      </c>
      <c r="AF162" s="126">
        <f t="shared" ref="AF162:AF169" si="58">IFERROR((K162/(1-U162))/H162,0)</f>
        <v>1.2222222222222221</v>
      </c>
      <c r="AG162" s="128">
        <f t="shared" ref="AG162:AG169" si="59">IFERROR((K162/(1-V162))/H162,0)</f>
        <v>11.000000000000002</v>
      </c>
    </row>
    <row r="163" spans="1:33" ht="15.75" customHeight="1" x14ac:dyDescent="0.35">
      <c r="A163" s="61" t="s">
        <v>53</v>
      </c>
      <c r="B163" s="48" t="s">
        <v>77</v>
      </c>
      <c r="C163" s="62" t="s">
        <v>300</v>
      </c>
      <c r="D163" s="115"/>
      <c r="E163" s="115"/>
      <c r="F163" s="115"/>
      <c r="G163" s="115"/>
      <c r="H163" s="124">
        <f t="shared" si="52"/>
        <v>0</v>
      </c>
      <c r="I163" s="115"/>
      <c r="J163" s="117"/>
      <c r="K163" s="115">
        <v>100</v>
      </c>
      <c r="L163" s="115">
        <v>5</v>
      </c>
      <c r="M163" s="115"/>
      <c r="N163" s="115"/>
      <c r="O163" s="115"/>
      <c r="P163" s="124">
        <f t="shared" si="51"/>
        <v>5</v>
      </c>
      <c r="Q163" s="117">
        <v>1</v>
      </c>
      <c r="R163" s="115" t="s">
        <v>301</v>
      </c>
      <c r="S163" s="142"/>
      <c r="T163" s="115"/>
      <c r="U163" s="118">
        <v>0.3</v>
      </c>
      <c r="V163" s="118">
        <v>0.2</v>
      </c>
      <c r="W163" s="118">
        <v>0.99</v>
      </c>
      <c r="X163" s="115"/>
      <c r="Y163" s="119">
        <v>4.8</v>
      </c>
      <c r="Z163" s="125">
        <f t="shared" si="50"/>
        <v>5</v>
      </c>
      <c r="AA163" s="126">
        <f t="shared" si="53"/>
        <v>0</v>
      </c>
      <c r="AB163" s="127">
        <f t="shared" si="54"/>
        <v>0</v>
      </c>
      <c r="AC163" s="126">
        <f t="shared" si="55"/>
        <v>0</v>
      </c>
      <c r="AD163" s="126">
        <f t="shared" si="56"/>
        <v>0</v>
      </c>
      <c r="AE163" s="126">
        <f t="shared" si="57"/>
        <v>0</v>
      </c>
      <c r="AF163" s="126">
        <f t="shared" si="58"/>
        <v>0</v>
      </c>
      <c r="AG163" s="128">
        <f t="shared" si="59"/>
        <v>0</v>
      </c>
    </row>
    <row r="164" spans="1:33" ht="15.75" customHeight="1" x14ac:dyDescent="0.35">
      <c r="A164" s="61" t="s">
        <v>56</v>
      </c>
      <c r="B164" s="48" t="s">
        <v>101</v>
      </c>
      <c r="C164" s="62" t="s">
        <v>302</v>
      </c>
      <c r="D164" s="115"/>
      <c r="E164" s="115"/>
      <c r="F164" s="115"/>
      <c r="G164" s="115"/>
      <c r="H164" s="124">
        <f t="shared" si="52"/>
        <v>0</v>
      </c>
      <c r="I164" s="115"/>
      <c r="J164" s="117"/>
      <c r="K164" s="115"/>
      <c r="L164" s="115"/>
      <c r="M164" s="115"/>
      <c r="N164" s="115"/>
      <c r="O164" s="115"/>
      <c r="P164" s="124">
        <f t="shared" si="51"/>
        <v>0</v>
      </c>
      <c r="Q164" s="117"/>
      <c r="R164" s="115"/>
      <c r="S164" s="142"/>
      <c r="T164" s="115"/>
      <c r="U164" s="118"/>
      <c r="V164" s="118"/>
      <c r="W164" s="118"/>
      <c r="X164" s="115"/>
      <c r="Y164" s="119"/>
      <c r="Z164" s="125">
        <f t="shared" si="50"/>
        <v>0</v>
      </c>
      <c r="AA164" s="126">
        <f t="shared" si="53"/>
        <v>0</v>
      </c>
      <c r="AB164" s="127">
        <f t="shared" si="54"/>
        <v>0</v>
      </c>
      <c r="AC164" s="126">
        <f t="shared" si="55"/>
        <v>0</v>
      </c>
      <c r="AD164" s="126">
        <f t="shared" si="56"/>
        <v>0</v>
      </c>
      <c r="AE164" s="126">
        <f t="shared" si="57"/>
        <v>0</v>
      </c>
      <c r="AF164" s="126">
        <f t="shared" si="58"/>
        <v>0</v>
      </c>
      <c r="AG164" s="128">
        <f t="shared" si="59"/>
        <v>0</v>
      </c>
    </row>
    <row r="165" spans="1:33" ht="15.75" customHeight="1" x14ac:dyDescent="0.35">
      <c r="A165" s="61" t="s">
        <v>303</v>
      </c>
      <c r="B165" s="48" t="s">
        <v>101</v>
      </c>
      <c r="C165" s="62" t="s">
        <v>304</v>
      </c>
      <c r="D165" s="115"/>
      <c r="E165" s="115">
        <v>50</v>
      </c>
      <c r="F165" s="115">
        <v>40</v>
      </c>
      <c r="G165" s="115"/>
      <c r="H165" s="124">
        <f t="shared" si="52"/>
        <v>90</v>
      </c>
      <c r="I165" s="115">
        <v>2</v>
      </c>
      <c r="J165" s="117">
        <v>15</v>
      </c>
      <c r="K165" s="115">
        <v>65</v>
      </c>
      <c r="L165" s="115">
        <v>6</v>
      </c>
      <c r="M165" s="115"/>
      <c r="N165" s="115"/>
      <c r="O165" s="115"/>
      <c r="P165" s="124">
        <f t="shared" si="51"/>
        <v>6</v>
      </c>
      <c r="Q165" s="117">
        <v>1.5</v>
      </c>
      <c r="R165" s="115" t="s">
        <v>305</v>
      </c>
      <c r="S165" s="142"/>
      <c r="T165" s="115"/>
      <c r="U165" s="118">
        <v>0.3</v>
      </c>
      <c r="V165" s="118">
        <v>0.1</v>
      </c>
      <c r="W165" s="118">
        <v>0.99</v>
      </c>
      <c r="X165" s="115">
        <v>10</v>
      </c>
      <c r="Y165" s="119">
        <v>4</v>
      </c>
      <c r="Z165" s="125">
        <f t="shared" si="50"/>
        <v>4</v>
      </c>
      <c r="AA165" s="126">
        <f t="shared" si="53"/>
        <v>0</v>
      </c>
      <c r="AB165" s="127">
        <f t="shared" si="54"/>
        <v>4.4444444444444446E-2</v>
      </c>
      <c r="AC165" s="126">
        <f t="shared" si="55"/>
        <v>2</v>
      </c>
      <c r="AD165" s="126">
        <f t="shared" si="56"/>
        <v>0.72222222222222221</v>
      </c>
      <c r="AE165" s="126">
        <f t="shared" si="57"/>
        <v>32.5</v>
      </c>
      <c r="AF165" s="126">
        <f t="shared" si="58"/>
        <v>1.0317460317460319</v>
      </c>
      <c r="AG165" s="128">
        <f t="shared" si="59"/>
        <v>0.80246913580246904</v>
      </c>
    </row>
    <row r="166" spans="1:33" ht="15.75" customHeight="1" x14ac:dyDescent="0.35">
      <c r="A166" s="61" t="s">
        <v>56</v>
      </c>
      <c r="B166" s="48" t="s">
        <v>101</v>
      </c>
      <c r="C166" s="62" t="s">
        <v>306</v>
      </c>
      <c r="D166" s="115"/>
      <c r="E166" s="115">
        <v>160</v>
      </c>
      <c r="F166" s="115"/>
      <c r="G166" s="115">
        <v>15</v>
      </c>
      <c r="H166" s="124">
        <f t="shared" si="52"/>
        <v>160</v>
      </c>
      <c r="I166" s="115">
        <v>2</v>
      </c>
      <c r="J166" s="117">
        <v>15</v>
      </c>
      <c r="K166" s="115">
        <v>250</v>
      </c>
      <c r="L166" s="115"/>
      <c r="M166" s="115">
        <v>18</v>
      </c>
      <c r="N166" s="115"/>
      <c r="O166" s="115"/>
      <c r="P166" s="124">
        <f t="shared" si="51"/>
        <v>18</v>
      </c>
      <c r="Q166" s="117">
        <v>1.5</v>
      </c>
      <c r="R166" s="117" t="s">
        <v>110</v>
      </c>
      <c r="S166" s="115" t="s">
        <v>111</v>
      </c>
      <c r="T166" s="115"/>
      <c r="U166" s="118">
        <v>0.5</v>
      </c>
      <c r="V166" s="118">
        <v>0.5</v>
      </c>
      <c r="W166" s="118">
        <v>0.8</v>
      </c>
      <c r="X166" s="115">
        <v>14</v>
      </c>
      <c r="Y166" s="119">
        <v>3.5</v>
      </c>
      <c r="Z166" s="125">
        <f t="shared" si="50"/>
        <v>12</v>
      </c>
      <c r="AA166" s="126">
        <f t="shared" si="53"/>
        <v>0</v>
      </c>
      <c r="AB166" s="127">
        <f t="shared" si="54"/>
        <v>7.4999999999999997E-2</v>
      </c>
      <c r="AC166" s="126">
        <f t="shared" si="55"/>
        <v>6</v>
      </c>
      <c r="AD166" s="126">
        <f t="shared" si="56"/>
        <v>1.5625</v>
      </c>
      <c r="AE166" s="126">
        <f t="shared" si="57"/>
        <v>125</v>
      </c>
      <c r="AF166" s="126">
        <f t="shared" si="58"/>
        <v>3.125</v>
      </c>
      <c r="AG166" s="128">
        <f t="shared" si="59"/>
        <v>3.125</v>
      </c>
    </row>
    <row r="167" spans="1:33" ht="15.75" customHeight="1" x14ac:dyDescent="0.35">
      <c r="A167" s="61" t="s">
        <v>56</v>
      </c>
      <c r="B167" s="48" t="s">
        <v>101</v>
      </c>
      <c r="C167" s="62" t="s">
        <v>307</v>
      </c>
      <c r="D167" s="115">
        <v>200</v>
      </c>
      <c r="E167" s="115"/>
      <c r="F167" s="115"/>
      <c r="G167" s="115">
        <v>18</v>
      </c>
      <c r="H167" s="124">
        <f t="shared" si="52"/>
        <v>200</v>
      </c>
      <c r="I167" s="115">
        <v>3</v>
      </c>
      <c r="J167" s="117"/>
      <c r="K167" s="115">
        <v>375</v>
      </c>
      <c r="L167" s="115">
        <v>14</v>
      </c>
      <c r="M167" s="115"/>
      <c r="N167" s="115"/>
      <c r="O167" s="115"/>
      <c r="P167" s="124">
        <f t="shared" si="51"/>
        <v>14</v>
      </c>
      <c r="Q167" s="117">
        <v>1.2</v>
      </c>
      <c r="R167" s="117" t="s">
        <v>110</v>
      </c>
      <c r="S167" s="115" t="s">
        <v>119</v>
      </c>
      <c r="T167" s="115"/>
      <c r="U167" s="118">
        <v>0.6</v>
      </c>
      <c r="V167" s="118">
        <v>0.55000000000000004</v>
      </c>
      <c r="W167" s="118">
        <v>0.8</v>
      </c>
      <c r="X167" s="115"/>
      <c r="Y167" s="119">
        <v>6</v>
      </c>
      <c r="Z167" s="125">
        <f t="shared" si="50"/>
        <v>11.666666666666668</v>
      </c>
      <c r="AA167" s="126">
        <f t="shared" si="53"/>
        <v>0</v>
      </c>
      <c r="AB167" s="127">
        <f t="shared" si="54"/>
        <v>5.8333333333333341E-2</v>
      </c>
      <c r="AC167" s="126">
        <f t="shared" si="55"/>
        <v>3.8888888888888893</v>
      </c>
      <c r="AD167" s="126">
        <f t="shared" si="56"/>
        <v>1.875</v>
      </c>
      <c r="AE167" s="126">
        <f t="shared" si="57"/>
        <v>125</v>
      </c>
      <c r="AF167" s="126">
        <f t="shared" si="58"/>
        <v>4.6875</v>
      </c>
      <c r="AG167" s="128">
        <f t="shared" si="59"/>
        <v>4.166666666666667</v>
      </c>
    </row>
    <row r="168" spans="1:33" ht="15.75" customHeight="1" x14ac:dyDescent="0.35">
      <c r="A168" s="61" t="s">
        <v>56</v>
      </c>
      <c r="B168" s="48" t="s">
        <v>101</v>
      </c>
      <c r="C168" s="62" t="s">
        <v>308</v>
      </c>
      <c r="D168" s="115"/>
      <c r="E168" s="115"/>
      <c r="F168" s="115"/>
      <c r="G168" s="115"/>
      <c r="H168" s="124">
        <f t="shared" si="52"/>
        <v>0</v>
      </c>
      <c r="I168" s="115"/>
      <c r="J168" s="117"/>
      <c r="K168" s="115">
        <v>240</v>
      </c>
      <c r="L168" s="115">
        <v>16</v>
      </c>
      <c r="M168" s="115"/>
      <c r="N168" s="115"/>
      <c r="O168" s="115">
        <v>30</v>
      </c>
      <c r="P168" s="124">
        <f t="shared" si="51"/>
        <v>16</v>
      </c>
      <c r="Q168" s="117">
        <v>2</v>
      </c>
      <c r="R168" s="117"/>
      <c r="S168" s="115"/>
      <c r="T168" s="115"/>
      <c r="U168" s="118">
        <v>0.3</v>
      </c>
      <c r="V168" s="118">
        <v>0.6</v>
      </c>
      <c r="W168" s="118">
        <v>0.8</v>
      </c>
      <c r="X168" s="115"/>
      <c r="Y168" s="119">
        <v>3.5</v>
      </c>
      <c r="Z168" s="125">
        <f t="shared" si="50"/>
        <v>8</v>
      </c>
      <c r="AA168" s="126">
        <f t="shared" si="53"/>
        <v>15</v>
      </c>
      <c r="AB168" s="127">
        <f t="shared" si="54"/>
        <v>0</v>
      </c>
      <c r="AC168" s="126">
        <f t="shared" si="55"/>
        <v>0</v>
      </c>
      <c r="AD168" s="126">
        <f t="shared" si="56"/>
        <v>0</v>
      </c>
      <c r="AE168" s="126">
        <f t="shared" si="57"/>
        <v>0</v>
      </c>
      <c r="AF168" s="126">
        <f t="shared" si="58"/>
        <v>0</v>
      </c>
      <c r="AG168" s="128">
        <f t="shared" si="59"/>
        <v>0</v>
      </c>
    </row>
    <row r="169" spans="1:33" customFormat="1" ht="15.75" customHeight="1" thickBot="1" x14ac:dyDescent="0.4">
      <c r="A169" s="69" t="s">
        <v>56</v>
      </c>
      <c r="B169" s="70" t="s">
        <v>46</v>
      </c>
      <c r="C169" s="71" t="s">
        <v>309</v>
      </c>
      <c r="D169" s="130">
        <v>1000</v>
      </c>
      <c r="E169" s="130">
        <v>1000</v>
      </c>
      <c r="F169" s="130">
        <v>1000</v>
      </c>
      <c r="G169" s="130">
        <v>50</v>
      </c>
      <c r="H169" s="131">
        <f t="shared" si="52"/>
        <v>3000</v>
      </c>
      <c r="I169" s="130">
        <v>10</v>
      </c>
      <c r="J169" s="132"/>
      <c r="K169" s="130">
        <v>28000</v>
      </c>
      <c r="L169" s="130">
        <v>70</v>
      </c>
      <c r="M169" s="130"/>
      <c r="N169" s="130"/>
      <c r="O169" s="130">
        <v>70</v>
      </c>
      <c r="P169" s="131">
        <f t="shared" si="51"/>
        <v>70</v>
      </c>
      <c r="Q169" s="139">
        <v>3.5</v>
      </c>
      <c r="R169" s="139" t="s">
        <v>64</v>
      </c>
      <c r="S169" s="140" t="s">
        <v>310</v>
      </c>
      <c r="T169" s="140" t="s">
        <v>311</v>
      </c>
      <c r="U169" s="141">
        <v>0.6</v>
      </c>
      <c r="V169" s="133">
        <v>0.8</v>
      </c>
      <c r="W169" s="133">
        <v>0.8</v>
      </c>
      <c r="X169" s="130"/>
      <c r="Y169" s="134">
        <v>3.8</v>
      </c>
      <c r="Z169" s="135">
        <f t="shared" si="50"/>
        <v>20</v>
      </c>
      <c r="AA169" s="136">
        <f t="shared" si="53"/>
        <v>20</v>
      </c>
      <c r="AB169" s="137">
        <f t="shared" si="54"/>
        <v>6.6666666666666671E-3</v>
      </c>
      <c r="AC169" s="136">
        <f t="shared" si="55"/>
        <v>2</v>
      </c>
      <c r="AD169" s="136">
        <f t="shared" si="56"/>
        <v>9.3333333333333339</v>
      </c>
      <c r="AE169" s="136">
        <f t="shared" si="57"/>
        <v>2800</v>
      </c>
      <c r="AF169" s="136">
        <f t="shared" si="58"/>
        <v>23.333333333333332</v>
      </c>
      <c r="AG169" s="138">
        <f t="shared" si="59"/>
        <v>46.666666666666679</v>
      </c>
    </row>
    <row r="170" spans="1:33" customFormat="1" ht="15.75" customHeight="1" x14ac:dyDescent="0.35"/>
    <row r="171" spans="1:33" customFormat="1" ht="15.75" customHeight="1" x14ac:dyDescent="0.35"/>
    <row r="172" spans="1:33" customFormat="1" ht="15.75" customHeight="1" x14ac:dyDescent="0.35"/>
    <row r="173" spans="1:33" customFormat="1" ht="15.75" customHeight="1" x14ac:dyDescent="0.35"/>
    <row r="174" spans="1:33" customFormat="1" ht="15.75" customHeight="1" x14ac:dyDescent="0.35"/>
    <row r="175" spans="1:33" customFormat="1" ht="15.75" customHeight="1" x14ac:dyDescent="0.35"/>
    <row r="176" spans="1:33" customFormat="1" ht="15.75" customHeight="1" x14ac:dyDescent="0.35"/>
    <row r="177" customFormat="1" ht="15.75" customHeight="1" x14ac:dyDescent="0.35"/>
    <row r="178" customFormat="1" ht="15.75" customHeight="1" x14ac:dyDescent="0.35"/>
    <row r="179" customFormat="1" ht="15.75" customHeight="1" x14ac:dyDescent="0.35"/>
    <row r="180" customFormat="1" ht="15.75" customHeight="1" x14ac:dyDescent="0.35"/>
    <row r="181" customFormat="1" ht="15.75" customHeight="1" x14ac:dyDescent="0.35"/>
    <row r="182" customFormat="1" ht="15.75" customHeight="1" x14ac:dyDescent="0.35"/>
    <row r="183" customFormat="1" ht="15.75" customHeight="1" x14ac:dyDescent="0.35"/>
    <row r="184" customFormat="1" ht="15.75" customHeight="1" x14ac:dyDescent="0.35"/>
    <row r="185" customFormat="1" ht="15.75" customHeight="1" x14ac:dyDescent="0.35"/>
    <row r="186" customFormat="1" ht="15.75" customHeight="1" x14ac:dyDescent="0.35"/>
    <row r="187" customFormat="1" ht="15.75" customHeight="1" x14ac:dyDescent="0.35"/>
    <row r="188" customFormat="1" ht="15.75" customHeight="1" x14ac:dyDescent="0.35"/>
    <row r="189" customFormat="1" ht="15" customHeight="1" x14ac:dyDescent="0.35"/>
    <row r="190" customFormat="1" ht="15" customHeight="1" x14ac:dyDescent="0.35"/>
    <row r="191" customFormat="1" ht="15" customHeight="1" x14ac:dyDescent="0.35"/>
    <row r="192" customFormat="1" ht="15" customHeight="1" x14ac:dyDescent="0.35"/>
    <row r="193" customFormat="1" ht="15" customHeight="1" x14ac:dyDescent="0.35"/>
    <row r="194" customFormat="1" ht="15" customHeight="1" x14ac:dyDescent="0.35"/>
    <row r="195" customFormat="1" ht="15" customHeight="1" x14ac:dyDescent="0.35"/>
    <row r="196" customFormat="1" ht="15" customHeight="1" x14ac:dyDescent="0.35"/>
    <row r="197" customFormat="1" ht="15" customHeight="1" x14ac:dyDescent="0.35"/>
    <row r="198" customFormat="1" ht="15" customHeight="1" x14ac:dyDescent="0.35"/>
    <row r="199" customFormat="1" ht="15" customHeight="1" x14ac:dyDescent="0.35"/>
    <row r="200" customFormat="1" ht="15" customHeight="1" x14ac:dyDescent="0.35"/>
    <row r="201" customFormat="1" ht="15" customHeight="1" x14ac:dyDescent="0.35"/>
    <row r="202" customFormat="1" ht="15" customHeight="1" x14ac:dyDescent="0.35"/>
    <row r="203" customFormat="1" ht="15" customHeight="1" x14ac:dyDescent="0.35"/>
    <row r="204" customFormat="1" ht="15" customHeight="1" x14ac:dyDescent="0.35"/>
    <row r="205" customFormat="1" ht="15" customHeight="1" x14ac:dyDescent="0.35"/>
    <row r="206" customFormat="1" ht="15" customHeight="1" x14ac:dyDescent="0.35"/>
    <row r="207" customFormat="1" ht="15" customHeight="1" x14ac:dyDescent="0.35"/>
    <row r="208" customFormat="1" ht="15" customHeight="1" x14ac:dyDescent="0.35"/>
    <row r="209" customFormat="1" ht="15" customHeight="1" x14ac:dyDescent="0.35"/>
    <row r="210" customFormat="1" ht="15" customHeight="1" x14ac:dyDescent="0.35"/>
    <row r="211" customFormat="1" ht="15" customHeight="1" x14ac:dyDescent="0.35"/>
    <row r="212" customFormat="1" ht="15" customHeight="1" x14ac:dyDescent="0.35"/>
    <row r="213" customFormat="1" ht="15" customHeight="1" x14ac:dyDescent="0.35"/>
    <row r="214" customFormat="1" ht="15" customHeight="1" x14ac:dyDescent="0.35"/>
    <row r="215" customFormat="1" ht="15" customHeight="1" x14ac:dyDescent="0.35"/>
    <row r="216" customFormat="1" ht="15" customHeight="1" x14ac:dyDescent="0.35"/>
    <row r="217" customFormat="1" ht="15" customHeight="1" x14ac:dyDescent="0.35"/>
    <row r="218" customFormat="1" ht="15" customHeight="1" x14ac:dyDescent="0.35"/>
    <row r="219" customFormat="1" ht="15" customHeight="1" x14ac:dyDescent="0.35"/>
    <row r="220" customFormat="1" ht="15" customHeight="1" x14ac:dyDescent="0.35"/>
    <row r="221" customFormat="1" ht="15" customHeight="1" x14ac:dyDescent="0.35"/>
    <row r="222" customFormat="1" ht="15" customHeight="1" x14ac:dyDescent="0.35"/>
    <row r="223" customFormat="1" ht="15" customHeight="1" x14ac:dyDescent="0.35"/>
    <row r="224" customFormat="1" ht="15" customHeight="1" x14ac:dyDescent="0.35"/>
    <row r="225" customFormat="1" ht="15" customHeight="1" x14ac:dyDescent="0.35"/>
    <row r="226" customFormat="1" ht="15" customHeight="1" x14ac:dyDescent="0.35"/>
    <row r="227" customFormat="1" ht="15" customHeight="1" x14ac:dyDescent="0.35"/>
    <row r="228" customFormat="1" ht="15" customHeight="1" x14ac:dyDescent="0.35"/>
    <row r="229" customFormat="1" ht="15" customHeight="1" x14ac:dyDescent="0.35"/>
    <row r="230" customFormat="1" ht="15" customHeight="1" x14ac:dyDescent="0.35"/>
    <row r="231" customFormat="1" ht="15" customHeight="1" x14ac:dyDescent="0.35"/>
    <row r="232" customFormat="1" ht="15" customHeight="1" x14ac:dyDescent="0.35"/>
    <row r="233" customFormat="1" ht="15" customHeight="1" x14ac:dyDescent="0.35"/>
    <row r="234" customFormat="1" ht="15" customHeight="1" x14ac:dyDescent="0.35"/>
    <row r="235" customFormat="1" ht="15" customHeight="1" x14ac:dyDescent="0.35"/>
    <row r="236" customFormat="1" ht="15" customHeight="1" x14ac:dyDescent="0.35"/>
    <row r="237" customFormat="1" ht="15" customHeight="1" x14ac:dyDescent="0.35"/>
    <row r="238" customFormat="1" ht="15" customHeight="1" x14ac:dyDescent="0.35"/>
    <row r="239" customFormat="1" ht="15" customHeight="1" x14ac:dyDescent="0.35"/>
    <row r="240" customFormat="1" ht="15" customHeight="1" x14ac:dyDescent="0.35"/>
    <row r="241" customFormat="1" ht="15" customHeight="1" x14ac:dyDescent="0.35"/>
    <row r="242" customFormat="1" ht="15" customHeight="1" x14ac:dyDescent="0.35"/>
    <row r="243" customFormat="1" ht="15" customHeight="1" x14ac:dyDescent="0.35"/>
    <row r="244" customFormat="1" ht="15" customHeight="1" x14ac:dyDescent="0.35"/>
    <row r="245" customFormat="1" ht="15" customHeight="1" x14ac:dyDescent="0.35"/>
    <row r="246" customFormat="1" ht="15" customHeight="1" x14ac:dyDescent="0.35"/>
    <row r="247" customFormat="1" ht="15" customHeight="1" x14ac:dyDescent="0.35"/>
    <row r="248" customFormat="1" ht="15" customHeight="1" x14ac:dyDescent="0.35"/>
    <row r="249" customFormat="1" ht="15" customHeight="1" x14ac:dyDescent="0.35"/>
    <row r="250" customFormat="1" ht="15" customHeight="1" x14ac:dyDescent="0.35"/>
    <row r="251" customFormat="1" ht="15" customHeight="1" x14ac:dyDescent="0.35"/>
    <row r="252" customFormat="1" ht="15" customHeight="1" x14ac:dyDescent="0.35"/>
    <row r="253" customFormat="1" ht="15" customHeight="1" x14ac:dyDescent="0.35"/>
    <row r="254" customFormat="1" ht="15" customHeight="1" x14ac:dyDescent="0.35"/>
    <row r="255" customFormat="1" ht="15" customHeight="1" x14ac:dyDescent="0.35"/>
    <row r="256" customFormat="1" ht="15" customHeight="1" x14ac:dyDescent="0.35"/>
    <row r="257" customFormat="1" ht="15" customHeight="1" x14ac:dyDescent="0.35"/>
    <row r="258" customFormat="1" ht="15" customHeight="1" x14ac:dyDescent="0.35"/>
    <row r="259" customFormat="1" ht="15" customHeight="1" x14ac:dyDescent="0.35"/>
    <row r="260" customFormat="1" ht="15" customHeight="1" x14ac:dyDescent="0.35"/>
    <row r="261" customFormat="1" ht="15" customHeight="1" x14ac:dyDescent="0.35"/>
    <row r="262" customFormat="1" ht="15" customHeight="1" x14ac:dyDescent="0.35"/>
    <row r="263" customFormat="1" ht="15" customHeight="1" x14ac:dyDescent="0.35"/>
    <row r="264" customFormat="1" ht="15" customHeight="1" x14ac:dyDescent="0.35"/>
    <row r="265" customFormat="1" ht="15" customHeight="1" x14ac:dyDescent="0.35"/>
    <row r="266" customFormat="1" ht="15" customHeight="1" x14ac:dyDescent="0.35"/>
    <row r="267" customFormat="1" ht="15" customHeight="1" x14ac:dyDescent="0.35"/>
    <row r="268" customFormat="1" ht="15" customHeight="1" x14ac:dyDescent="0.35"/>
    <row r="269" customFormat="1" ht="15" customHeight="1" x14ac:dyDescent="0.35"/>
    <row r="270" customFormat="1" ht="15" customHeight="1" x14ac:dyDescent="0.35"/>
    <row r="271" customFormat="1" ht="15" customHeight="1" x14ac:dyDescent="0.35"/>
    <row r="272" customFormat="1" ht="15" customHeight="1" x14ac:dyDescent="0.35"/>
    <row r="273" customFormat="1" ht="15" customHeight="1" x14ac:dyDescent="0.35"/>
    <row r="274" customFormat="1" ht="15" customHeight="1" x14ac:dyDescent="0.35"/>
    <row r="275" customFormat="1" ht="15" customHeight="1" x14ac:dyDescent="0.35"/>
    <row r="276" customFormat="1" ht="15" customHeight="1" x14ac:dyDescent="0.35"/>
    <row r="277" customFormat="1" ht="15" customHeight="1" x14ac:dyDescent="0.35"/>
    <row r="278" customFormat="1" ht="15" customHeight="1" x14ac:dyDescent="0.35"/>
    <row r="279" customFormat="1" ht="15" customHeight="1" x14ac:dyDescent="0.35"/>
    <row r="280" customFormat="1" ht="15" customHeight="1" x14ac:dyDescent="0.35"/>
    <row r="281" customFormat="1" ht="15" customHeight="1" x14ac:dyDescent="0.35"/>
    <row r="282" customFormat="1" ht="15" customHeight="1" x14ac:dyDescent="0.35"/>
    <row r="283" customFormat="1" ht="15" customHeight="1" x14ac:dyDescent="0.35"/>
    <row r="284" customFormat="1" ht="15" customHeight="1" x14ac:dyDescent="0.35"/>
    <row r="285" customFormat="1" ht="15" customHeight="1" x14ac:dyDescent="0.35"/>
    <row r="286" customFormat="1" ht="15" customHeight="1" x14ac:dyDescent="0.35"/>
    <row r="287" customFormat="1" ht="15" customHeight="1" x14ac:dyDescent="0.35"/>
    <row r="288" customFormat="1" ht="15" customHeight="1" x14ac:dyDescent="0.35"/>
    <row r="289" customFormat="1" ht="15" customHeight="1" x14ac:dyDescent="0.35"/>
    <row r="290" customFormat="1" ht="15" customHeight="1" x14ac:dyDescent="0.35"/>
    <row r="291" customFormat="1" ht="15" customHeight="1" x14ac:dyDescent="0.35"/>
    <row r="292" customFormat="1" ht="15" customHeight="1" x14ac:dyDescent="0.35"/>
    <row r="293" customFormat="1" ht="15" customHeight="1" x14ac:dyDescent="0.35"/>
    <row r="294" customFormat="1" ht="15" customHeight="1" x14ac:dyDescent="0.35"/>
    <row r="295" customFormat="1" ht="15" customHeight="1" x14ac:dyDescent="0.35"/>
    <row r="296" customFormat="1" ht="15" customHeight="1" x14ac:dyDescent="0.35"/>
    <row r="297" customFormat="1" ht="15" customHeight="1" x14ac:dyDescent="0.35"/>
    <row r="298" customFormat="1" ht="15" customHeight="1" x14ac:dyDescent="0.35"/>
    <row r="299" customFormat="1" ht="15" customHeight="1" x14ac:dyDescent="0.35"/>
    <row r="300" customFormat="1" ht="15" customHeight="1" x14ac:dyDescent="0.35"/>
    <row r="301" customFormat="1" ht="15" customHeight="1" x14ac:dyDescent="0.35"/>
    <row r="302" customFormat="1" ht="15" customHeight="1" x14ac:dyDescent="0.35"/>
    <row r="303" customFormat="1" ht="15" customHeight="1" x14ac:dyDescent="0.35"/>
    <row r="304" customFormat="1" ht="15" customHeight="1" x14ac:dyDescent="0.35"/>
    <row r="305" customFormat="1" ht="15" customHeight="1" x14ac:dyDescent="0.35"/>
    <row r="306" customFormat="1" ht="15" customHeight="1" x14ac:dyDescent="0.35"/>
    <row r="307" customFormat="1" ht="15" customHeight="1" x14ac:dyDescent="0.35"/>
    <row r="308" customFormat="1" ht="15" customHeight="1" x14ac:dyDescent="0.35"/>
    <row r="309" customFormat="1" ht="15" customHeight="1" x14ac:dyDescent="0.35"/>
    <row r="310" customFormat="1" ht="15" customHeight="1" x14ac:dyDescent="0.35"/>
    <row r="311" customFormat="1" ht="15" customHeight="1" x14ac:dyDescent="0.35"/>
    <row r="312" customFormat="1" ht="15" customHeight="1" x14ac:dyDescent="0.35"/>
    <row r="313" customFormat="1" ht="15" customHeight="1" x14ac:dyDescent="0.35"/>
    <row r="314" customFormat="1" ht="15" customHeight="1" x14ac:dyDescent="0.35"/>
    <row r="315" customFormat="1" ht="15" customHeight="1" x14ac:dyDescent="0.35"/>
    <row r="316" customFormat="1" ht="15" customHeight="1" x14ac:dyDescent="0.35"/>
    <row r="317" customFormat="1" ht="15" customHeight="1" x14ac:dyDescent="0.35"/>
    <row r="318" customFormat="1" ht="15" customHeight="1" x14ac:dyDescent="0.35"/>
    <row r="319" customFormat="1" ht="15" customHeight="1" x14ac:dyDescent="0.35"/>
    <row r="320" customFormat="1" ht="15" customHeight="1" x14ac:dyDescent="0.35"/>
    <row r="321" customFormat="1" ht="15" customHeight="1" x14ac:dyDescent="0.35"/>
    <row r="322" customFormat="1" ht="15" customHeight="1" x14ac:dyDescent="0.35"/>
    <row r="323" customFormat="1" ht="15" customHeight="1" x14ac:dyDescent="0.35"/>
    <row r="324" customFormat="1" ht="15" customHeight="1" x14ac:dyDescent="0.35"/>
    <row r="325" customFormat="1" ht="15" customHeight="1" x14ac:dyDescent="0.35"/>
    <row r="326" customFormat="1" ht="15" customHeight="1" x14ac:dyDescent="0.35"/>
    <row r="327" customFormat="1" ht="15" customHeight="1" x14ac:dyDescent="0.35"/>
    <row r="328" customFormat="1" ht="15" customHeight="1" x14ac:dyDescent="0.35"/>
    <row r="329" customFormat="1" ht="15" customHeight="1" x14ac:dyDescent="0.35"/>
    <row r="330" customFormat="1" ht="15" customHeight="1" x14ac:dyDescent="0.35"/>
    <row r="331" customFormat="1" ht="15" customHeight="1" x14ac:dyDescent="0.35"/>
    <row r="332" customFormat="1" ht="15" customHeight="1" x14ac:dyDescent="0.35"/>
    <row r="333" customFormat="1" ht="15" customHeight="1" x14ac:dyDescent="0.35"/>
    <row r="334" customFormat="1" ht="15" customHeight="1" x14ac:dyDescent="0.35"/>
    <row r="335" customFormat="1" ht="15" customHeight="1" x14ac:dyDescent="0.35"/>
    <row r="336" customFormat="1" ht="15" customHeight="1" x14ac:dyDescent="0.35"/>
    <row r="337" customFormat="1" ht="15" customHeight="1" x14ac:dyDescent="0.35"/>
    <row r="338" customFormat="1" ht="15" customHeight="1" x14ac:dyDescent="0.35"/>
    <row r="339" customFormat="1" ht="15" customHeight="1" x14ac:dyDescent="0.35"/>
    <row r="340" customFormat="1" ht="15" customHeight="1" x14ac:dyDescent="0.35"/>
    <row r="341" customFormat="1" ht="15" customHeight="1" x14ac:dyDescent="0.35"/>
    <row r="342" customFormat="1" ht="15" customHeight="1" x14ac:dyDescent="0.35"/>
    <row r="343" customFormat="1" ht="15" customHeight="1" x14ac:dyDescent="0.35"/>
    <row r="344" customFormat="1" ht="15" customHeight="1" x14ac:dyDescent="0.35"/>
    <row r="345" customFormat="1" ht="15" customHeight="1" x14ac:dyDescent="0.35"/>
    <row r="346" customFormat="1" ht="15" customHeight="1" x14ac:dyDescent="0.35"/>
    <row r="347" customFormat="1" ht="15" customHeight="1" x14ac:dyDescent="0.35"/>
    <row r="348" customFormat="1" ht="15" customHeight="1" x14ac:dyDescent="0.35"/>
    <row r="349" customFormat="1" ht="15" customHeight="1" x14ac:dyDescent="0.35"/>
    <row r="350" customFormat="1" ht="15" customHeight="1" x14ac:dyDescent="0.35"/>
    <row r="351" customFormat="1" ht="15" customHeight="1" x14ac:dyDescent="0.35"/>
    <row r="352" customFormat="1" ht="15" customHeight="1" x14ac:dyDescent="0.35"/>
    <row r="353" customFormat="1" ht="15" customHeight="1" x14ac:dyDescent="0.35"/>
    <row r="354" customFormat="1" ht="15" customHeight="1" x14ac:dyDescent="0.35"/>
    <row r="355" customFormat="1" ht="15" customHeight="1" x14ac:dyDescent="0.35"/>
    <row r="356" customFormat="1" ht="15" customHeight="1" x14ac:dyDescent="0.35"/>
    <row r="357" customFormat="1" ht="15" customHeight="1" x14ac:dyDescent="0.35"/>
    <row r="358" customFormat="1" ht="15" customHeight="1" x14ac:dyDescent="0.35"/>
    <row r="359" customFormat="1" ht="15" customHeight="1" x14ac:dyDescent="0.35"/>
    <row r="360" customFormat="1" ht="15" customHeight="1" x14ac:dyDescent="0.35"/>
    <row r="361" customFormat="1" ht="15" customHeight="1" x14ac:dyDescent="0.35"/>
    <row r="362" customFormat="1" ht="15" customHeight="1" x14ac:dyDescent="0.35"/>
    <row r="363" customFormat="1" ht="15" customHeight="1" x14ac:dyDescent="0.35"/>
    <row r="364" customFormat="1" ht="15" customHeight="1" x14ac:dyDescent="0.35"/>
    <row r="365" customFormat="1" ht="15" customHeight="1" x14ac:dyDescent="0.35"/>
    <row r="366" customFormat="1" ht="15" customHeight="1" x14ac:dyDescent="0.35"/>
    <row r="367" customFormat="1" ht="15" customHeight="1" x14ac:dyDescent="0.35"/>
    <row r="368" customFormat="1" ht="15" customHeight="1" x14ac:dyDescent="0.35"/>
    <row r="369" customFormat="1" ht="15" customHeight="1" x14ac:dyDescent="0.35"/>
    <row r="370" customFormat="1" ht="15" customHeight="1" x14ac:dyDescent="0.35"/>
    <row r="371" customFormat="1" ht="15" customHeight="1" x14ac:dyDescent="0.35"/>
    <row r="372" customFormat="1" ht="15" customHeight="1" x14ac:dyDescent="0.35"/>
    <row r="373" customFormat="1" ht="15" customHeight="1" x14ac:dyDescent="0.35"/>
    <row r="374" customFormat="1" ht="15" customHeight="1" x14ac:dyDescent="0.35"/>
    <row r="375" customFormat="1" ht="15" customHeight="1" x14ac:dyDescent="0.35"/>
    <row r="376" customFormat="1" ht="15" customHeight="1" x14ac:dyDescent="0.35"/>
    <row r="377" customFormat="1" ht="15" customHeight="1" x14ac:dyDescent="0.35"/>
    <row r="378" customFormat="1" ht="15" customHeight="1" x14ac:dyDescent="0.35"/>
    <row r="379" customFormat="1" ht="15" customHeight="1" x14ac:dyDescent="0.35"/>
    <row r="380" customFormat="1" ht="15" customHeight="1" x14ac:dyDescent="0.35"/>
    <row r="381" customFormat="1" ht="15" customHeight="1" x14ac:dyDescent="0.35"/>
    <row r="382" customFormat="1" ht="15" customHeight="1" x14ac:dyDescent="0.35"/>
    <row r="383" customFormat="1" ht="15" customHeight="1" x14ac:dyDescent="0.35"/>
    <row r="384" customFormat="1" ht="15" customHeight="1" x14ac:dyDescent="0.35"/>
    <row r="385" customFormat="1" ht="15" customHeight="1" x14ac:dyDescent="0.35"/>
    <row r="386" customFormat="1" ht="15" customHeight="1" x14ac:dyDescent="0.35"/>
    <row r="387" customFormat="1" ht="15" customHeight="1" x14ac:dyDescent="0.35"/>
    <row r="388" customFormat="1" ht="15" customHeight="1" x14ac:dyDescent="0.35"/>
    <row r="389" customFormat="1" ht="15" customHeight="1" x14ac:dyDescent="0.35"/>
    <row r="390" customFormat="1" ht="15" customHeight="1" x14ac:dyDescent="0.35"/>
    <row r="391" customFormat="1" ht="15" customHeight="1" x14ac:dyDescent="0.35"/>
    <row r="392" customFormat="1" ht="15" customHeight="1" x14ac:dyDescent="0.35"/>
    <row r="393" customFormat="1" ht="15" customHeight="1" x14ac:dyDescent="0.35"/>
    <row r="394" customFormat="1" ht="15" customHeight="1" x14ac:dyDescent="0.35"/>
    <row r="395" customFormat="1" ht="15" customHeight="1" x14ac:dyDescent="0.35"/>
    <row r="396" customFormat="1" ht="15" customHeight="1" x14ac:dyDescent="0.35"/>
    <row r="397" customFormat="1" ht="15" customHeight="1" x14ac:dyDescent="0.35"/>
    <row r="398" customFormat="1" ht="15" customHeight="1" x14ac:dyDescent="0.35"/>
    <row r="399" customFormat="1" ht="15" customHeight="1" x14ac:dyDescent="0.35"/>
    <row r="400" customFormat="1" ht="15" customHeight="1" x14ac:dyDescent="0.35"/>
    <row r="401" customFormat="1" ht="15" customHeight="1" x14ac:dyDescent="0.35"/>
    <row r="402" customFormat="1" ht="15" customHeight="1" x14ac:dyDescent="0.35"/>
    <row r="403" customFormat="1" ht="15" customHeight="1" x14ac:dyDescent="0.35"/>
    <row r="404" customFormat="1" ht="15" customHeight="1" x14ac:dyDescent="0.35"/>
    <row r="405" customFormat="1" ht="15" customHeight="1" x14ac:dyDescent="0.35"/>
    <row r="406" customFormat="1" ht="15" customHeight="1" x14ac:dyDescent="0.35"/>
    <row r="407" customFormat="1" ht="15" customHeight="1" x14ac:dyDescent="0.35"/>
    <row r="408" customFormat="1" ht="15" customHeight="1" x14ac:dyDescent="0.35"/>
    <row r="409" customFormat="1" ht="15" customHeight="1" x14ac:dyDescent="0.35"/>
    <row r="410" customFormat="1" ht="15" customHeight="1" x14ac:dyDescent="0.35"/>
    <row r="411" customFormat="1" ht="15" customHeight="1" x14ac:dyDescent="0.35"/>
    <row r="412" customFormat="1" ht="15" customHeight="1" x14ac:dyDescent="0.35"/>
    <row r="413" customFormat="1" ht="15" customHeight="1" x14ac:dyDescent="0.35"/>
    <row r="414" customFormat="1" ht="15" customHeight="1" x14ac:dyDescent="0.35"/>
    <row r="415" customFormat="1" ht="15" customHeight="1" x14ac:dyDescent="0.35"/>
    <row r="416" customFormat="1" ht="15" customHeight="1" x14ac:dyDescent="0.35"/>
    <row r="417" customFormat="1" ht="15" customHeight="1" x14ac:dyDescent="0.35"/>
    <row r="418" customFormat="1" ht="15" customHeight="1" x14ac:dyDescent="0.35"/>
    <row r="419" customFormat="1" ht="15" customHeight="1" x14ac:dyDescent="0.35"/>
    <row r="420" customFormat="1" ht="15" customHeight="1" x14ac:dyDescent="0.35"/>
    <row r="421" customFormat="1" ht="15" customHeight="1" x14ac:dyDescent="0.35"/>
    <row r="422" customFormat="1" ht="15" customHeight="1" x14ac:dyDescent="0.35"/>
    <row r="423" customFormat="1" ht="15" customHeight="1" x14ac:dyDescent="0.35"/>
    <row r="424" customFormat="1" ht="15" customHeight="1" x14ac:dyDescent="0.35"/>
    <row r="425" customFormat="1" ht="15" customHeight="1" x14ac:dyDescent="0.35"/>
    <row r="426" customFormat="1" ht="15" customHeight="1" x14ac:dyDescent="0.35"/>
    <row r="427" customFormat="1" ht="15" customHeight="1" x14ac:dyDescent="0.35"/>
    <row r="428" customFormat="1" ht="15" customHeight="1" x14ac:dyDescent="0.35"/>
    <row r="429" customFormat="1" ht="15" customHeight="1" x14ac:dyDescent="0.35"/>
    <row r="430" customFormat="1" ht="15" customHeight="1" x14ac:dyDescent="0.35"/>
    <row r="431" customFormat="1" ht="15" customHeight="1" x14ac:dyDescent="0.35"/>
    <row r="432" customFormat="1" ht="15" customHeight="1" x14ac:dyDescent="0.35"/>
    <row r="433" spans="1:33" customFormat="1" ht="15" customHeight="1" x14ac:dyDescent="0.35"/>
    <row r="434" spans="1:33" customFormat="1" ht="15" customHeight="1" x14ac:dyDescent="0.35"/>
    <row r="435" spans="1:33" customFormat="1" ht="15" customHeight="1" x14ac:dyDescent="0.35"/>
    <row r="436" spans="1:33" customFormat="1" ht="15" customHeight="1" x14ac:dyDescent="0.35"/>
    <row r="437" spans="1:33" customFormat="1" ht="15" customHeight="1" x14ac:dyDescent="0.35"/>
    <row r="438" spans="1:33" customFormat="1" ht="15" customHeight="1" x14ac:dyDescent="0.35"/>
    <row r="439" spans="1:33" customFormat="1" ht="15" customHeight="1" x14ac:dyDescent="0.35"/>
    <row r="440" spans="1:33" customFormat="1" ht="15" customHeight="1" x14ac:dyDescent="0.35"/>
    <row r="441" spans="1:33" customFormat="1" ht="15" customHeight="1" x14ac:dyDescent="0.35"/>
    <row r="442" spans="1:33" customFormat="1" ht="15" customHeight="1" x14ac:dyDescent="0.35"/>
    <row r="443" spans="1:33" customFormat="1" ht="15" customHeight="1" x14ac:dyDescent="0.35"/>
    <row r="444" spans="1:33" customFormat="1" ht="15" customHeight="1" x14ac:dyDescent="0.35"/>
    <row r="445" spans="1:33" customFormat="1" ht="15" customHeight="1" x14ac:dyDescent="0.35"/>
    <row r="446" spans="1:33" customFormat="1" ht="15" customHeight="1" x14ac:dyDescent="0.35"/>
    <row r="447" spans="1:33" ht="15" customHeight="1" x14ac:dyDescent="0.35">
      <c r="A447"/>
      <c r="B447"/>
      <c r="C447"/>
      <c r="D447"/>
      <c r="E447"/>
      <c r="F447"/>
      <c r="G447"/>
      <c r="H447" s="58"/>
      <c r="I447"/>
      <c r="J447"/>
      <c r="K447"/>
      <c r="L447"/>
      <c r="M447"/>
      <c r="N447"/>
      <c r="O447"/>
      <c r="P447" s="58"/>
      <c r="Q447"/>
      <c r="R447"/>
      <c r="S447"/>
      <c r="T447"/>
      <c r="U447"/>
      <c r="V447"/>
      <c r="W447"/>
      <c r="X447"/>
      <c r="Y447"/>
      <c r="Z447" s="53"/>
      <c r="AA447"/>
      <c r="AB447"/>
      <c r="AC447"/>
      <c r="AD447"/>
      <c r="AE447"/>
      <c r="AF447"/>
      <c r="AG447" s="54"/>
    </row>
    <row r="448" spans="1:33" ht="15" customHeight="1" x14ac:dyDescent="0.35">
      <c r="A448"/>
      <c r="AF448" s="86"/>
      <c r="AG448" s="85"/>
    </row>
    <row r="449" spans="31:33" ht="15" customHeight="1" x14ac:dyDescent="0.35">
      <c r="AF449" s="84"/>
      <c r="AG449" s="85"/>
    </row>
    <row r="450" spans="31:33" ht="15" customHeight="1" x14ac:dyDescent="0.35">
      <c r="AE450" s="83"/>
      <c r="AF450" s="86"/>
      <c r="AG450" s="85"/>
    </row>
    <row r="451" spans="31:33" ht="15" customHeight="1" x14ac:dyDescent="0.35">
      <c r="AF451" s="84"/>
      <c r="AG451" s="85"/>
    </row>
    <row r="452" spans="31:33" ht="15" customHeight="1" x14ac:dyDescent="0.35">
      <c r="AF452" s="86"/>
      <c r="AG452" s="85"/>
    </row>
    <row r="453" spans="31:33" ht="15" customHeight="1" x14ac:dyDescent="0.35">
      <c r="AF453" s="84"/>
      <c r="AG453" s="85"/>
    </row>
  </sheetData>
  <sortState xmlns:xlrd2="http://schemas.microsoft.com/office/spreadsheetml/2017/richdata2" ref="A2:Y169">
    <sortCondition descending="1" ref="B12:B169"/>
  </sortState>
  <conditionalFormatting sqref="C448:C1048576 C2:C169">
    <cfRule type="duplicateValues" dxfId="11" priority="1"/>
  </conditionalFormatting>
  <pageMargins left="0.7" right="0.7" top="0.75" bottom="0.75" header="0" footer="0"/>
  <pageSetup orientation="landscape"/>
  <ignoredErrors>
    <ignoredError sqref="H10"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C2B8-66C3-45BA-B714-A446BC82FA77}">
  <dimension ref="A1:D14"/>
  <sheetViews>
    <sheetView zoomScale="370" zoomScaleNormal="370" workbookViewId="0">
      <selection activeCell="A13" sqref="A13"/>
    </sheetView>
  </sheetViews>
  <sheetFormatPr defaultColWidth="9" defaultRowHeight="14.5" x14ac:dyDescent="0.35"/>
  <cols>
    <col min="1" max="1" width="16.1796875" bestFit="1" customWidth="1"/>
    <col min="2" max="2" width="5.26953125" bestFit="1" customWidth="1"/>
    <col min="3" max="3" width="9.453125" bestFit="1" customWidth="1"/>
    <col min="4" max="4" width="10.1796875" bestFit="1" customWidth="1"/>
    <col min="5" max="5" width="1.26953125" customWidth="1"/>
  </cols>
  <sheetData>
    <row r="1" spans="1:4" ht="15" thickBot="1" x14ac:dyDescent="0.4">
      <c r="A1" s="151" t="s">
        <v>14</v>
      </c>
      <c r="B1" s="151" t="s">
        <v>19</v>
      </c>
      <c r="C1" s="151" t="s">
        <v>458</v>
      </c>
      <c r="D1" s="151" t="s">
        <v>459</v>
      </c>
    </row>
    <row r="2" spans="1:4" x14ac:dyDescent="0.35">
      <c r="A2" s="150" t="s">
        <v>57</v>
      </c>
      <c r="B2" s="168">
        <f>_xlfn.XLOOKUP(A2,Units!C:C,Units!H:H,"error",0)</f>
        <v>250</v>
      </c>
      <c r="C2" s="163">
        <v>11</v>
      </c>
      <c r="D2" s="164">
        <f>B2*C2</f>
        <v>2750</v>
      </c>
    </row>
    <row r="3" spans="1:4" x14ac:dyDescent="0.35">
      <c r="A3" s="152"/>
      <c r="B3" s="161">
        <f>_xlfn.XLOOKUP(A3,Units!C:C,Units!H:H,"error",0)</f>
        <v>0</v>
      </c>
      <c r="C3" s="158">
        <v>5</v>
      </c>
      <c r="D3" s="165">
        <f>B3*C3</f>
        <v>0</v>
      </c>
    </row>
    <row r="4" spans="1:4" ht="15" thickBot="1" x14ac:dyDescent="0.4">
      <c r="A4" s="162"/>
      <c r="B4" s="169">
        <f>_xlfn.XLOOKUP(A4,Units!C:C,Units!H:H,"error",0)</f>
        <v>0</v>
      </c>
      <c r="C4" s="166">
        <v>3</v>
      </c>
      <c r="D4" s="167">
        <f>B4*C4</f>
        <v>0</v>
      </c>
    </row>
    <row r="5" spans="1:4" ht="15" thickBot="1" x14ac:dyDescent="0.4">
      <c r="D5" s="170">
        <f>SUM(D2:D4)</f>
        <v>2750</v>
      </c>
    </row>
    <row r="6" spans="1:4" ht="15" thickBot="1" x14ac:dyDescent="0.4"/>
    <row r="7" spans="1:4" x14ac:dyDescent="0.35">
      <c r="A7" s="159" t="s">
        <v>261</v>
      </c>
      <c r="B7" s="163">
        <f>_xlfn.XLOOKUP(A7,Units!C:C,Units!H:H,"error",0)</f>
        <v>90</v>
      </c>
      <c r="C7" s="163">
        <v>11</v>
      </c>
      <c r="D7" s="164">
        <f>B7*C7</f>
        <v>990</v>
      </c>
    </row>
    <row r="8" spans="1:4" x14ac:dyDescent="0.35">
      <c r="A8" s="160"/>
      <c r="B8" s="158">
        <f>_xlfn.XLOOKUP(A8,Units!C:C,Units!H:H,"error",0)</f>
        <v>0</v>
      </c>
      <c r="C8" s="158">
        <v>1</v>
      </c>
      <c r="D8" s="165">
        <f>B8*C8</f>
        <v>0</v>
      </c>
    </row>
    <row r="9" spans="1:4" ht="15" thickBot="1" x14ac:dyDescent="0.4">
      <c r="A9" s="157"/>
      <c r="B9" s="166">
        <f>_xlfn.XLOOKUP(A9,Units!C:C,Units!H:H,"error",0)</f>
        <v>0</v>
      </c>
      <c r="C9" s="166">
        <v>16</v>
      </c>
      <c r="D9" s="167">
        <f>B9*C9</f>
        <v>0</v>
      </c>
    </row>
    <row r="10" spans="1:4" ht="15" thickBot="1" x14ac:dyDescent="0.4">
      <c r="D10" s="170">
        <f>SUM(D7:D9)</f>
        <v>990</v>
      </c>
    </row>
    <row r="14" spans="1:4" x14ac:dyDescent="0.35">
      <c r="D14">
        <f>SUM(D10:D13)</f>
        <v>990</v>
      </c>
    </row>
  </sheetData>
  <conditionalFormatting sqref="A2:A3">
    <cfRule type="duplicateValues" dxfId="10" priority="2"/>
  </conditionalFormatting>
  <conditionalFormatting sqref="A4">
    <cfRule type="duplicateValues" dxfId="9"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4A90-D476-491B-8259-8760B69527C3}">
  <sheetPr codeName="Sheet3"/>
  <dimension ref="A1:Z1000"/>
  <sheetViews>
    <sheetView zoomScale="175" zoomScaleNormal="175" workbookViewId="0">
      <selection activeCell="B23" sqref="B23"/>
    </sheetView>
  </sheetViews>
  <sheetFormatPr defaultColWidth="12.54296875" defaultRowHeight="15" customHeight="1" x14ac:dyDescent="0.35"/>
  <cols>
    <col min="1" max="1" width="8.54296875" style="13" customWidth="1"/>
    <col min="2" max="2" width="34.81640625" style="13" customWidth="1"/>
    <col min="3" max="7" width="8.54296875" style="13" customWidth="1"/>
    <col min="8" max="8" width="83.7265625" style="13" customWidth="1"/>
    <col min="9" max="26" width="8.54296875" style="13" customWidth="1"/>
    <col min="27" max="16384" width="12.54296875" style="13"/>
  </cols>
  <sheetData>
    <row r="1" spans="1:26" ht="14.5" x14ac:dyDescent="0.35">
      <c r="A1" s="19" t="s">
        <v>13</v>
      </c>
      <c r="B1" s="19" t="s">
        <v>312</v>
      </c>
      <c r="C1" s="19" t="s">
        <v>15</v>
      </c>
      <c r="D1" s="19" t="s">
        <v>16</v>
      </c>
      <c r="E1" s="19" t="s">
        <v>17</v>
      </c>
      <c r="F1" s="19" t="s">
        <v>18</v>
      </c>
      <c r="G1" s="19" t="s">
        <v>313</v>
      </c>
      <c r="H1" s="19" t="s">
        <v>314</v>
      </c>
      <c r="I1" s="19"/>
      <c r="J1" s="19"/>
      <c r="K1" s="19"/>
      <c r="L1" s="19"/>
      <c r="M1" s="19"/>
      <c r="N1" s="19"/>
      <c r="O1" s="19"/>
      <c r="P1" s="19"/>
      <c r="Q1" s="19"/>
      <c r="R1" s="19"/>
      <c r="S1" s="19"/>
      <c r="T1" s="19"/>
      <c r="U1" s="19"/>
      <c r="V1" s="19"/>
      <c r="W1" s="19"/>
      <c r="X1" s="19"/>
      <c r="Y1" s="19"/>
      <c r="Z1" s="19"/>
    </row>
    <row r="2" spans="1:26" ht="14.5" x14ac:dyDescent="0.35">
      <c r="A2" s="13" t="s">
        <v>315</v>
      </c>
      <c r="B2" s="13" t="s">
        <v>316</v>
      </c>
      <c r="C2" s="13">
        <v>100</v>
      </c>
      <c r="F2" s="13">
        <v>10</v>
      </c>
      <c r="G2" s="13">
        <v>40</v>
      </c>
      <c r="H2" s="13" t="s">
        <v>317</v>
      </c>
    </row>
    <row r="3" spans="1:26" ht="14.5" x14ac:dyDescent="0.35">
      <c r="A3" s="18" t="s">
        <v>318</v>
      </c>
      <c r="B3" s="13" t="s">
        <v>319</v>
      </c>
      <c r="D3" s="13">
        <v>250</v>
      </c>
      <c r="F3" s="13">
        <v>20</v>
      </c>
      <c r="G3" s="13">
        <v>30</v>
      </c>
      <c r="H3" s="13" t="s">
        <v>320</v>
      </c>
    </row>
    <row r="4" spans="1:26" ht="14.5" x14ac:dyDescent="0.35">
      <c r="A4" s="18" t="s">
        <v>318</v>
      </c>
      <c r="B4" s="13" t="s">
        <v>321</v>
      </c>
      <c r="D4" s="13">
        <v>150</v>
      </c>
      <c r="F4" s="13">
        <v>15</v>
      </c>
      <c r="G4" s="13">
        <v>40</v>
      </c>
      <c r="H4" s="13" t="s">
        <v>322</v>
      </c>
    </row>
    <row r="5" spans="1:26" ht="14.5" x14ac:dyDescent="0.35">
      <c r="A5" s="18" t="s">
        <v>318</v>
      </c>
      <c r="B5" s="13" t="s">
        <v>323</v>
      </c>
      <c r="D5" s="13">
        <v>100</v>
      </c>
      <c r="F5" s="13">
        <v>15</v>
      </c>
      <c r="G5" s="13">
        <v>15</v>
      </c>
      <c r="H5" s="13" t="s">
        <v>324</v>
      </c>
    </row>
    <row r="6" spans="1:26" ht="14.5" x14ac:dyDescent="0.35">
      <c r="A6" s="18" t="s">
        <v>325</v>
      </c>
      <c r="B6" s="13" t="s">
        <v>326</v>
      </c>
      <c r="D6" s="13">
        <v>300</v>
      </c>
      <c r="F6" s="13">
        <v>20</v>
      </c>
      <c r="G6" s="13">
        <v>20</v>
      </c>
      <c r="H6" s="13" t="s">
        <v>327</v>
      </c>
    </row>
    <row r="7" spans="1:26" ht="14.5" x14ac:dyDescent="0.35">
      <c r="A7" s="18" t="s">
        <v>325</v>
      </c>
      <c r="B7" s="13" t="s">
        <v>328</v>
      </c>
      <c r="C7" s="13">
        <v>125</v>
      </c>
      <c r="F7" s="13">
        <v>25</v>
      </c>
      <c r="G7" s="13">
        <v>40</v>
      </c>
      <c r="H7" s="13" t="s">
        <v>329</v>
      </c>
    </row>
    <row r="8" spans="1:26" ht="14.5" x14ac:dyDescent="0.35">
      <c r="A8" s="18" t="s">
        <v>325</v>
      </c>
      <c r="B8" s="13" t="s">
        <v>330</v>
      </c>
      <c r="E8" s="13">
        <v>50</v>
      </c>
      <c r="F8" s="13">
        <v>3</v>
      </c>
      <c r="G8" s="13">
        <v>30</v>
      </c>
      <c r="H8" s="13" t="s">
        <v>331</v>
      </c>
    </row>
    <row r="9" spans="1:26" ht="14.5" x14ac:dyDescent="0.35">
      <c r="A9" s="18" t="s">
        <v>332</v>
      </c>
      <c r="B9" s="18" t="s">
        <v>333</v>
      </c>
      <c r="E9" s="18">
        <v>150</v>
      </c>
      <c r="F9" s="18">
        <v>10</v>
      </c>
      <c r="G9" s="18">
        <v>40</v>
      </c>
      <c r="H9" s="18" t="s">
        <v>334</v>
      </c>
    </row>
    <row r="10" spans="1:26" ht="14.5" x14ac:dyDescent="0.35">
      <c r="A10" s="18" t="s">
        <v>332</v>
      </c>
      <c r="B10" s="18" t="s">
        <v>335</v>
      </c>
      <c r="C10" s="18">
        <v>100</v>
      </c>
      <c r="F10" s="18">
        <v>15</v>
      </c>
      <c r="G10" s="18">
        <v>40</v>
      </c>
      <c r="H10" s="18" t="s">
        <v>336</v>
      </c>
    </row>
    <row r="11" spans="1:26" ht="14.5" x14ac:dyDescent="0.35">
      <c r="A11" s="18" t="s">
        <v>332</v>
      </c>
      <c r="B11" s="18" t="s">
        <v>337</v>
      </c>
      <c r="C11" s="18">
        <v>200</v>
      </c>
      <c r="F11" s="18">
        <v>15</v>
      </c>
      <c r="G11" s="18">
        <v>40</v>
      </c>
      <c r="H11" s="18" t="s">
        <v>338</v>
      </c>
    </row>
    <row r="12" spans="1:26" ht="14.5" x14ac:dyDescent="0.35">
      <c r="A12" s="18" t="s">
        <v>332</v>
      </c>
      <c r="B12" s="18" t="s">
        <v>339</v>
      </c>
      <c r="D12" s="18">
        <v>125</v>
      </c>
      <c r="F12" s="18">
        <v>12</v>
      </c>
      <c r="G12" s="18">
        <v>40</v>
      </c>
      <c r="H12" s="18" t="s">
        <v>340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A215-5C15-4B5C-8303-1367E0651CCF}">
  <sheetPr codeName="Sheet4">
    <tabColor theme="4" tint="0.79998168889431442"/>
  </sheetPr>
  <dimension ref="B1:E10"/>
  <sheetViews>
    <sheetView zoomScale="175" zoomScaleNormal="175" workbookViewId="0">
      <selection activeCell="E15" sqref="E15"/>
    </sheetView>
  </sheetViews>
  <sheetFormatPr defaultColWidth="9.1796875" defaultRowHeight="14.5" x14ac:dyDescent="0.35"/>
  <cols>
    <col min="1" max="1" width="1" style="1" customWidth="1"/>
    <col min="2" max="4" width="9.1796875" style="1"/>
    <col min="5" max="5" width="46.7265625" style="1" customWidth="1"/>
    <col min="6" max="16384" width="9.1796875" style="1"/>
  </cols>
  <sheetData>
    <row r="1" spans="2:5" x14ac:dyDescent="0.35">
      <c r="B1" s="226" t="s">
        <v>341</v>
      </c>
      <c r="C1" s="227"/>
      <c r="D1" s="227"/>
      <c r="E1" s="228"/>
    </row>
    <row r="2" spans="2:5" x14ac:dyDescent="0.35">
      <c r="B2" s="2" t="s">
        <v>342</v>
      </c>
      <c r="E2" s="3"/>
    </row>
    <row r="3" spans="2:5" x14ac:dyDescent="0.35">
      <c r="B3" s="2" t="s">
        <v>343</v>
      </c>
      <c r="E3" s="3"/>
    </row>
    <row r="4" spans="2:5" x14ac:dyDescent="0.35">
      <c r="B4" s="2" t="s">
        <v>344</v>
      </c>
      <c r="E4" s="3"/>
    </row>
    <row r="5" spans="2:5" x14ac:dyDescent="0.35">
      <c r="B5" s="2" t="s">
        <v>345</v>
      </c>
      <c r="E5" s="3"/>
    </row>
    <row r="6" spans="2:5" x14ac:dyDescent="0.35">
      <c r="B6" s="2" t="s">
        <v>346</v>
      </c>
      <c r="E6" s="3"/>
    </row>
    <row r="7" spans="2:5" x14ac:dyDescent="0.35">
      <c r="B7" s="2" t="s">
        <v>347</v>
      </c>
      <c r="E7" s="3"/>
    </row>
    <row r="8" spans="2:5" x14ac:dyDescent="0.35">
      <c r="B8" s="2" t="s">
        <v>348</v>
      </c>
      <c r="E8" s="3"/>
    </row>
    <row r="9" spans="2:5" x14ac:dyDescent="0.35">
      <c r="B9" s="2" t="s">
        <v>349</v>
      </c>
      <c r="E9" s="3"/>
    </row>
    <row r="10" spans="2:5" x14ac:dyDescent="0.35">
      <c r="B10" s="5" t="s">
        <v>350</v>
      </c>
      <c r="C10" s="6"/>
      <c r="D10" s="6"/>
      <c r="E10" s="7"/>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0E22-5EFA-4EB0-9329-7243ED1B4F92}">
  <sheetPr codeName="Sheet5">
    <tabColor theme="4" tint="0.79998168889431442"/>
  </sheetPr>
  <dimension ref="B1:E10"/>
  <sheetViews>
    <sheetView zoomScale="190" zoomScaleNormal="190" workbookViewId="0">
      <selection activeCell="F15" sqref="F15"/>
    </sheetView>
  </sheetViews>
  <sheetFormatPr defaultColWidth="9.1796875" defaultRowHeight="14.5" x14ac:dyDescent="0.35"/>
  <cols>
    <col min="1" max="1" width="1" style="1" customWidth="1"/>
    <col min="2" max="4" width="9.1796875" style="1"/>
    <col min="5" max="5" width="46.7265625" style="1" customWidth="1"/>
    <col min="6" max="16384" width="9.1796875" style="1"/>
  </cols>
  <sheetData>
    <row r="1" spans="2:5" x14ac:dyDescent="0.35">
      <c r="B1" s="226" t="s">
        <v>351</v>
      </c>
      <c r="C1" s="227"/>
      <c r="D1" s="227"/>
      <c r="E1" s="228"/>
    </row>
    <row r="2" spans="2:5" x14ac:dyDescent="0.35">
      <c r="B2" s="2" t="s">
        <v>342</v>
      </c>
      <c r="E2" s="3"/>
    </row>
    <row r="3" spans="2:5" x14ac:dyDescent="0.35">
      <c r="B3" s="2" t="s">
        <v>343</v>
      </c>
      <c r="E3" s="3"/>
    </row>
    <row r="4" spans="2:5" x14ac:dyDescent="0.35">
      <c r="B4" s="2" t="s">
        <v>352</v>
      </c>
      <c r="E4" s="3"/>
    </row>
    <row r="5" spans="2:5" x14ac:dyDescent="0.35">
      <c r="B5" s="2" t="s">
        <v>353</v>
      </c>
      <c r="E5" s="3"/>
    </row>
    <row r="6" spans="2:5" x14ac:dyDescent="0.35">
      <c r="B6" s="2" t="s">
        <v>346</v>
      </c>
      <c r="E6" s="3"/>
    </row>
    <row r="7" spans="2:5" x14ac:dyDescent="0.35">
      <c r="B7" s="2" t="s">
        <v>347</v>
      </c>
      <c r="E7" s="3"/>
    </row>
    <row r="8" spans="2:5" x14ac:dyDescent="0.35">
      <c r="B8" s="2" t="s">
        <v>348</v>
      </c>
      <c r="E8" s="3"/>
    </row>
    <row r="9" spans="2:5" x14ac:dyDescent="0.35">
      <c r="B9" s="2" t="s">
        <v>349</v>
      </c>
      <c r="E9" s="3"/>
    </row>
    <row r="10" spans="2:5" x14ac:dyDescent="0.35">
      <c r="B10" s="5" t="s">
        <v>354</v>
      </c>
      <c r="C10" s="6"/>
      <c r="D10" s="6"/>
      <c r="E10" s="7"/>
    </row>
  </sheetData>
  <mergeCells count="1">
    <mergeCell ref="B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4C37-4F11-4FAE-9B01-8C351D091988}">
  <sheetPr codeName="Sheet6">
    <tabColor theme="4" tint="0.79998168889431442"/>
  </sheetPr>
  <dimension ref="B1:E10"/>
  <sheetViews>
    <sheetView zoomScale="220" zoomScaleNormal="220" workbookViewId="0">
      <selection activeCell="F15" sqref="F15"/>
    </sheetView>
  </sheetViews>
  <sheetFormatPr defaultColWidth="9.1796875" defaultRowHeight="14.5" x14ac:dyDescent="0.35"/>
  <cols>
    <col min="1" max="1" width="1" style="1" customWidth="1"/>
    <col min="2" max="4" width="9.1796875" style="1"/>
    <col min="5" max="5" width="46.7265625" style="1" customWidth="1"/>
    <col min="6" max="16384" width="9.1796875" style="1"/>
  </cols>
  <sheetData>
    <row r="1" spans="2:5" x14ac:dyDescent="0.35">
      <c r="B1" s="226" t="s">
        <v>351</v>
      </c>
      <c r="C1" s="227"/>
      <c r="D1" s="227"/>
      <c r="E1" s="228"/>
    </row>
    <row r="2" spans="2:5" x14ac:dyDescent="0.35">
      <c r="B2" s="2" t="s">
        <v>355</v>
      </c>
      <c r="E2" s="3"/>
    </row>
    <row r="3" spans="2:5" x14ac:dyDescent="0.35">
      <c r="B3" s="2" t="s">
        <v>343</v>
      </c>
      <c r="E3" s="3"/>
    </row>
    <row r="4" spans="2:5" x14ac:dyDescent="0.35">
      <c r="B4" s="2" t="s">
        <v>356</v>
      </c>
      <c r="E4" s="3"/>
    </row>
    <row r="5" spans="2:5" x14ac:dyDescent="0.35">
      <c r="B5" s="2" t="s">
        <v>357</v>
      </c>
      <c r="E5" s="3"/>
    </row>
    <row r="6" spans="2:5" x14ac:dyDescent="0.35">
      <c r="B6" s="2" t="s">
        <v>358</v>
      </c>
      <c r="E6" s="3"/>
    </row>
    <row r="7" spans="2:5" x14ac:dyDescent="0.35">
      <c r="B7" s="2" t="s">
        <v>359</v>
      </c>
      <c r="E7" s="3"/>
    </row>
    <row r="8" spans="2:5" x14ac:dyDescent="0.35">
      <c r="B8" s="2" t="s">
        <v>360</v>
      </c>
      <c r="E8" s="3"/>
    </row>
    <row r="9" spans="2:5" x14ac:dyDescent="0.35">
      <c r="B9" s="2" t="s">
        <v>361</v>
      </c>
      <c r="E9" s="3"/>
    </row>
    <row r="10" spans="2:5" x14ac:dyDescent="0.35">
      <c r="B10" s="5" t="s">
        <v>362</v>
      </c>
      <c r="C10" s="6"/>
      <c r="D10" s="6"/>
      <c r="E10" s="7"/>
    </row>
  </sheetData>
  <mergeCells count="1">
    <mergeCell ref="B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A9DB-FF63-4BBB-BC71-901A3EE20ACF}">
  <sheetPr codeName="Sheet7">
    <tabColor theme="5"/>
  </sheetPr>
  <dimension ref="A1:A10"/>
  <sheetViews>
    <sheetView zoomScale="205" zoomScaleNormal="205" workbookViewId="0">
      <selection activeCell="A9" sqref="A9"/>
    </sheetView>
  </sheetViews>
  <sheetFormatPr defaultRowHeight="14.5" x14ac:dyDescent="0.35"/>
  <cols>
    <col min="1" max="1" width="68.453125" customWidth="1"/>
  </cols>
  <sheetData>
    <row r="1" spans="1:1" x14ac:dyDescent="0.35">
      <c r="A1" s="20" t="s">
        <v>363</v>
      </c>
    </row>
    <row r="2" spans="1:1" x14ac:dyDescent="0.35">
      <c r="A2" s="21" t="s">
        <v>364</v>
      </c>
    </row>
    <row r="3" spans="1:1" x14ac:dyDescent="0.35">
      <c r="A3" s="21" t="s">
        <v>365</v>
      </c>
    </row>
    <row r="4" spans="1:1" x14ac:dyDescent="0.35">
      <c r="A4" s="21" t="s">
        <v>366</v>
      </c>
    </row>
    <row r="5" spans="1:1" x14ac:dyDescent="0.35">
      <c r="A5" s="21" t="s">
        <v>367</v>
      </c>
    </row>
    <row r="6" spans="1:1" x14ac:dyDescent="0.35">
      <c r="A6" s="21" t="s">
        <v>368</v>
      </c>
    </row>
    <row r="7" spans="1:1" x14ac:dyDescent="0.35">
      <c r="A7" s="21" t="s">
        <v>369</v>
      </c>
    </row>
    <row r="8" spans="1:1" x14ac:dyDescent="0.35">
      <c r="A8" s="21" t="s">
        <v>370</v>
      </c>
    </row>
    <row r="9" spans="1:1" x14ac:dyDescent="0.35">
      <c r="A9" s="21" t="s">
        <v>371</v>
      </c>
    </row>
    <row r="10" spans="1:1" x14ac:dyDescent="0.35">
      <c r="A10" s="22" t="s">
        <v>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6F68-FA6A-418D-8DA8-968F1F11DDA3}">
  <sheetPr codeName="Sheet8">
    <tabColor theme="5"/>
  </sheetPr>
  <dimension ref="A1:D12"/>
  <sheetViews>
    <sheetView zoomScale="205" zoomScaleNormal="205" workbookViewId="0">
      <selection activeCell="B12" sqref="B12"/>
    </sheetView>
  </sheetViews>
  <sheetFormatPr defaultRowHeight="14.5" x14ac:dyDescent="0.35"/>
  <cols>
    <col min="1" max="1" width="68.453125" customWidth="1"/>
    <col min="4" max="4" width="14.81640625" customWidth="1"/>
  </cols>
  <sheetData>
    <row r="1" spans="1:4" x14ac:dyDescent="0.35">
      <c r="A1" s="20" t="s">
        <v>373</v>
      </c>
      <c r="B1" s="229" t="s">
        <v>485</v>
      </c>
      <c r="C1" s="230"/>
      <c r="D1" s="231"/>
    </row>
    <row r="2" spans="1:4" x14ac:dyDescent="0.35">
      <c r="A2" s="32"/>
      <c r="B2" s="36" t="s">
        <v>15</v>
      </c>
      <c r="C2" s="38" t="s">
        <v>16</v>
      </c>
      <c r="D2" s="37" t="s">
        <v>17</v>
      </c>
    </row>
    <row r="3" spans="1:4" x14ac:dyDescent="0.35">
      <c r="A3" s="21" t="s">
        <v>364</v>
      </c>
      <c r="B3" s="11">
        <v>3</v>
      </c>
      <c r="C3" s="11">
        <v>0</v>
      </c>
      <c r="D3" s="24">
        <v>0</v>
      </c>
    </row>
    <row r="4" spans="1:4" x14ac:dyDescent="0.35">
      <c r="A4" s="21" t="s">
        <v>375</v>
      </c>
      <c r="B4" s="11">
        <v>3</v>
      </c>
      <c r="C4" s="11">
        <v>0</v>
      </c>
      <c r="D4" s="24">
        <v>2</v>
      </c>
    </row>
    <row r="5" spans="1:4" x14ac:dyDescent="0.35">
      <c r="A5" s="21" t="s">
        <v>376</v>
      </c>
      <c r="B5" s="11">
        <v>3</v>
      </c>
      <c r="C5" s="11">
        <v>0</v>
      </c>
      <c r="D5" s="24">
        <v>3</v>
      </c>
    </row>
    <row r="6" spans="1:4" x14ac:dyDescent="0.35">
      <c r="A6" s="21" t="s">
        <v>377</v>
      </c>
      <c r="B6" s="11">
        <v>7</v>
      </c>
      <c r="C6" s="11">
        <v>0</v>
      </c>
      <c r="D6" s="24">
        <v>3</v>
      </c>
    </row>
    <row r="7" spans="1:4" x14ac:dyDescent="0.35">
      <c r="A7" s="21" t="s">
        <v>378</v>
      </c>
      <c r="B7" s="11">
        <v>7</v>
      </c>
      <c r="C7" s="11">
        <v>1</v>
      </c>
      <c r="D7" s="24" t="s">
        <v>410</v>
      </c>
    </row>
    <row r="8" spans="1:4" x14ac:dyDescent="0.35">
      <c r="A8" s="21" t="s">
        <v>379</v>
      </c>
      <c r="B8" s="11">
        <v>7</v>
      </c>
      <c r="C8" s="11">
        <v>1</v>
      </c>
      <c r="D8" s="24" t="s">
        <v>410</v>
      </c>
    </row>
    <row r="9" spans="1:4" x14ac:dyDescent="0.35">
      <c r="A9" s="21" t="s">
        <v>380</v>
      </c>
      <c r="B9" s="11">
        <v>7</v>
      </c>
      <c r="C9" s="11">
        <v>1</v>
      </c>
      <c r="D9" s="24" t="s">
        <v>410</v>
      </c>
    </row>
    <row r="10" spans="1:4" x14ac:dyDescent="0.35">
      <c r="A10" s="21" t="s">
        <v>381</v>
      </c>
      <c r="B10" s="11">
        <v>7</v>
      </c>
      <c r="C10" s="11">
        <v>1</v>
      </c>
      <c r="D10" s="24" t="s">
        <v>410</v>
      </c>
    </row>
    <row r="11" spans="1:4" x14ac:dyDescent="0.35">
      <c r="A11" s="34" t="s">
        <v>382</v>
      </c>
      <c r="B11" s="26">
        <v>7</v>
      </c>
      <c r="C11" s="26">
        <v>1</v>
      </c>
      <c r="D11" s="27" t="s">
        <v>410</v>
      </c>
    </row>
    <row r="12" spans="1:4" x14ac:dyDescent="0.35">
      <c r="A12" s="31" t="s">
        <v>383</v>
      </c>
    </row>
  </sheetData>
  <mergeCells count="1">
    <mergeCell ref="B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5C29-6BC7-46EF-B14F-999B43E226F1}">
  <sheetPr codeName="Sheet9">
    <tabColor theme="5"/>
  </sheetPr>
  <dimension ref="A1:A14"/>
  <sheetViews>
    <sheetView zoomScale="220" zoomScaleNormal="220" workbookViewId="0">
      <selection activeCell="A8" sqref="A8"/>
    </sheetView>
  </sheetViews>
  <sheetFormatPr defaultRowHeight="14.5" x14ac:dyDescent="0.35"/>
  <cols>
    <col min="1" max="1" width="83.26953125" bestFit="1" customWidth="1"/>
  </cols>
  <sheetData>
    <row r="1" spans="1:1" x14ac:dyDescent="0.35">
      <c r="A1" s="149" t="s">
        <v>486</v>
      </c>
    </row>
    <row r="2" spans="1:1" x14ac:dyDescent="0.35">
      <c r="A2" s="20" t="s">
        <v>384</v>
      </c>
    </row>
    <row r="3" spans="1:1" x14ac:dyDescent="0.35">
      <c r="A3" s="21" t="s">
        <v>364</v>
      </c>
    </row>
    <row r="4" spans="1:1" x14ac:dyDescent="0.35">
      <c r="A4" s="21" t="s">
        <v>376</v>
      </c>
    </row>
    <row r="5" spans="1:1" x14ac:dyDescent="0.35">
      <c r="A5" s="21" t="s">
        <v>385</v>
      </c>
    </row>
    <row r="6" spans="1:1" x14ac:dyDescent="0.35">
      <c r="A6" s="21" t="s">
        <v>367</v>
      </c>
    </row>
    <row r="7" spans="1:1" x14ac:dyDescent="0.35">
      <c r="A7" s="21" t="s">
        <v>386</v>
      </c>
    </row>
    <row r="8" spans="1:1" x14ac:dyDescent="0.35">
      <c r="A8" s="21" t="s">
        <v>387</v>
      </c>
    </row>
    <row r="9" spans="1:1" x14ac:dyDescent="0.35">
      <c r="A9" s="21" t="s">
        <v>388</v>
      </c>
    </row>
    <row r="10" spans="1:1" x14ac:dyDescent="0.35">
      <c r="A10" s="21" t="s">
        <v>389</v>
      </c>
    </row>
    <row r="11" spans="1:1" x14ac:dyDescent="0.35">
      <c r="A11" s="21" t="s">
        <v>390</v>
      </c>
    </row>
    <row r="12" spans="1:1" x14ac:dyDescent="0.35">
      <c r="A12" s="21" t="s">
        <v>391</v>
      </c>
    </row>
    <row r="13" spans="1:1" x14ac:dyDescent="0.35">
      <c r="A13" s="21" t="s">
        <v>392</v>
      </c>
    </row>
    <row r="14" spans="1:1" x14ac:dyDescent="0.35">
      <c r="A14" s="22" t="s">
        <v>372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0E5B-6834-4667-BBE2-4B3A0D137530}">
  <sheetPr codeName="Sheet10">
    <tabColor theme="9"/>
  </sheetPr>
  <dimension ref="A1:A5"/>
  <sheetViews>
    <sheetView zoomScale="250" zoomScaleNormal="250" workbookViewId="0">
      <selection activeCell="A9" sqref="A9"/>
    </sheetView>
  </sheetViews>
  <sheetFormatPr defaultColWidth="47.26953125" defaultRowHeight="14.5" x14ac:dyDescent="0.35"/>
  <cols>
    <col min="1" max="1" width="57.453125" style="44" customWidth="1"/>
    <col min="2" max="16384" width="47.26953125" style="44"/>
  </cols>
  <sheetData>
    <row r="1" spans="1:1" x14ac:dyDescent="0.35">
      <c r="A1" s="43" t="s">
        <v>393</v>
      </c>
    </row>
    <row r="2" spans="1:1" ht="29" x14ac:dyDescent="0.35">
      <c r="A2" s="35" t="s">
        <v>488</v>
      </c>
    </row>
    <row r="3" spans="1:1" x14ac:dyDescent="0.35">
      <c r="A3" s="35" t="s">
        <v>487</v>
      </c>
    </row>
    <row r="4" spans="1:1" x14ac:dyDescent="0.35">
      <c r="A4" s="35" t="s">
        <v>489</v>
      </c>
    </row>
    <row r="5" spans="1:1" x14ac:dyDescent="0.35">
      <c r="A5" s="40" t="s">
        <v>490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C06C-36BD-4796-A6D5-7B6220D1FA15}">
  <sheetPr codeName="Sheet11">
    <tabColor theme="9"/>
  </sheetPr>
  <dimension ref="A1:D14"/>
  <sheetViews>
    <sheetView zoomScale="265" zoomScaleNormal="265" workbookViewId="0">
      <selection sqref="A1:XFD1"/>
    </sheetView>
  </sheetViews>
  <sheetFormatPr defaultColWidth="9.1796875" defaultRowHeight="14.5" x14ac:dyDescent="0.35"/>
  <cols>
    <col min="1" max="1" width="47.7265625" style="44" bestFit="1" customWidth="1"/>
    <col min="2" max="3" width="9.1796875" style="44"/>
    <col min="4" max="4" width="22.7265625" style="44" customWidth="1"/>
    <col min="5" max="16384" width="9.1796875" style="44"/>
  </cols>
  <sheetData>
    <row r="1" spans="1:4" x14ac:dyDescent="0.35">
      <c r="A1" s="43" t="s">
        <v>394</v>
      </c>
      <c r="B1" s="229" t="s">
        <v>374</v>
      </c>
      <c r="C1" s="230"/>
      <c r="D1" s="231"/>
    </row>
    <row r="2" spans="1:4" x14ac:dyDescent="0.35">
      <c r="A2" s="45"/>
      <c r="B2" s="36" t="s">
        <v>15</v>
      </c>
      <c r="C2" s="38" t="s">
        <v>16</v>
      </c>
      <c r="D2" s="37" t="s">
        <v>17</v>
      </c>
    </row>
    <row r="3" spans="1:4" ht="29" x14ac:dyDescent="0.35">
      <c r="A3" s="35" t="s">
        <v>395</v>
      </c>
      <c r="B3">
        <v>2</v>
      </c>
      <c r="C3">
        <v>1</v>
      </c>
      <c r="D3" s="39">
        <v>0</v>
      </c>
    </row>
    <row r="4" spans="1:4" x14ac:dyDescent="0.35">
      <c r="A4" s="35" t="s">
        <v>396</v>
      </c>
      <c r="B4">
        <v>2</v>
      </c>
      <c r="C4">
        <v>1</v>
      </c>
      <c r="D4" s="39">
        <v>1</v>
      </c>
    </row>
    <row r="5" spans="1:4" x14ac:dyDescent="0.35">
      <c r="A5" s="35" t="s">
        <v>397</v>
      </c>
      <c r="B5">
        <v>4</v>
      </c>
      <c r="C5">
        <v>1</v>
      </c>
      <c r="D5" s="39">
        <v>1</v>
      </c>
    </row>
    <row r="6" spans="1:4" x14ac:dyDescent="0.35">
      <c r="A6" s="35" t="s">
        <v>398</v>
      </c>
      <c r="B6">
        <v>4</v>
      </c>
      <c r="C6">
        <v>1</v>
      </c>
      <c r="D6" s="39">
        <v>2</v>
      </c>
    </row>
    <row r="7" spans="1:4" x14ac:dyDescent="0.35">
      <c r="A7" s="35" t="s">
        <v>399</v>
      </c>
      <c r="B7">
        <v>4</v>
      </c>
      <c r="C7">
        <v>2</v>
      </c>
      <c r="D7" s="39">
        <v>2</v>
      </c>
    </row>
    <row r="8" spans="1:4" x14ac:dyDescent="0.35">
      <c r="A8" s="35" t="s">
        <v>400</v>
      </c>
      <c r="B8">
        <v>5</v>
      </c>
      <c r="C8">
        <v>2</v>
      </c>
      <c r="D8" s="39">
        <v>2</v>
      </c>
    </row>
    <row r="9" spans="1:4" x14ac:dyDescent="0.35">
      <c r="A9" s="35" t="s">
        <v>398</v>
      </c>
      <c r="B9">
        <v>5</v>
      </c>
      <c r="C9">
        <v>2</v>
      </c>
      <c r="D9" s="39">
        <v>3</v>
      </c>
    </row>
    <row r="10" spans="1:4" x14ac:dyDescent="0.35">
      <c r="A10" s="35" t="s">
        <v>401</v>
      </c>
      <c r="B10">
        <v>7</v>
      </c>
      <c r="C10">
        <v>2</v>
      </c>
      <c r="D10" s="39">
        <v>3</v>
      </c>
    </row>
    <row r="11" spans="1:4" x14ac:dyDescent="0.35">
      <c r="A11" s="35" t="s">
        <v>402</v>
      </c>
      <c r="B11">
        <v>7</v>
      </c>
      <c r="C11">
        <v>4</v>
      </c>
      <c r="D11" s="39">
        <v>3</v>
      </c>
    </row>
    <row r="12" spans="1:4" x14ac:dyDescent="0.35">
      <c r="A12" s="35" t="s">
        <v>403</v>
      </c>
      <c r="B12">
        <v>7</v>
      </c>
      <c r="C12">
        <v>4</v>
      </c>
      <c r="D12" s="39">
        <v>4</v>
      </c>
    </row>
    <row r="13" spans="1:4" x14ac:dyDescent="0.35">
      <c r="A13" s="40" t="s">
        <v>404</v>
      </c>
      <c r="B13" s="41">
        <v>7</v>
      </c>
      <c r="C13" s="41">
        <v>4</v>
      </c>
      <c r="D13" s="42">
        <v>4</v>
      </c>
    </row>
    <row r="14" spans="1:4" x14ac:dyDescent="0.35">
      <c r="A14" s="46" t="s">
        <v>405</v>
      </c>
    </row>
  </sheetData>
  <mergeCells count="1">
    <mergeCell ref="B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D22DF-01B3-4730-9570-F659E43A6284}">
  <sheetPr codeName="Sheet16">
    <tabColor theme="9"/>
  </sheetPr>
  <dimension ref="A1:D14"/>
  <sheetViews>
    <sheetView zoomScale="190" zoomScaleNormal="190" workbookViewId="0">
      <selection activeCell="E12" sqref="E12"/>
    </sheetView>
  </sheetViews>
  <sheetFormatPr defaultRowHeight="14.5" x14ac:dyDescent="0.35"/>
  <cols>
    <col min="1" max="1" width="62.54296875" customWidth="1"/>
    <col min="4" max="4" width="18.7265625" customWidth="1"/>
  </cols>
  <sheetData>
    <row r="1" spans="1:4" x14ac:dyDescent="0.35">
      <c r="A1" s="20" t="s">
        <v>394</v>
      </c>
      <c r="B1" s="229" t="s">
        <v>374</v>
      </c>
      <c r="C1" s="230"/>
      <c r="D1" s="231"/>
    </row>
    <row r="2" spans="1:4" x14ac:dyDescent="0.35">
      <c r="A2" s="32"/>
      <c r="B2" s="36" t="s">
        <v>15</v>
      </c>
      <c r="C2" s="38" t="s">
        <v>16</v>
      </c>
      <c r="D2" s="37" t="s">
        <v>17</v>
      </c>
    </row>
    <row r="3" spans="1:4" ht="29" x14ac:dyDescent="0.35">
      <c r="A3" s="35" t="s">
        <v>395</v>
      </c>
      <c r="B3">
        <v>2</v>
      </c>
      <c r="C3">
        <v>1</v>
      </c>
      <c r="D3" s="39">
        <v>0</v>
      </c>
    </row>
    <row r="4" spans="1:4" x14ac:dyDescent="0.35">
      <c r="A4" s="21" t="s">
        <v>396</v>
      </c>
      <c r="B4">
        <v>2</v>
      </c>
      <c r="C4">
        <v>1</v>
      </c>
      <c r="D4" s="39">
        <v>1</v>
      </c>
    </row>
    <row r="5" spans="1:4" x14ac:dyDescent="0.35">
      <c r="A5" s="21" t="s">
        <v>397</v>
      </c>
      <c r="B5">
        <v>4</v>
      </c>
      <c r="C5">
        <v>1</v>
      </c>
      <c r="D5" s="39">
        <v>1</v>
      </c>
    </row>
    <row r="6" spans="1:4" x14ac:dyDescent="0.35">
      <c r="A6" s="21" t="s">
        <v>398</v>
      </c>
      <c r="B6">
        <v>4</v>
      </c>
      <c r="C6">
        <v>1</v>
      </c>
      <c r="D6" s="39">
        <v>2</v>
      </c>
    </row>
    <row r="7" spans="1:4" x14ac:dyDescent="0.35">
      <c r="A7" s="21" t="s">
        <v>400</v>
      </c>
      <c r="B7">
        <v>5</v>
      </c>
      <c r="C7">
        <v>1</v>
      </c>
      <c r="D7" s="39">
        <v>2</v>
      </c>
    </row>
    <row r="8" spans="1:4" x14ac:dyDescent="0.35">
      <c r="A8" s="21" t="s">
        <v>406</v>
      </c>
      <c r="B8">
        <v>5</v>
      </c>
      <c r="C8">
        <v>1</v>
      </c>
      <c r="D8" s="39">
        <v>3</v>
      </c>
    </row>
    <row r="9" spans="1:4" x14ac:dyDescent="0.35">
      <c r="A9" s="21" t="s">
        <v>398</v>
      </c>
      <c r="B9">
        <v>5</v>
      </c>
      <c r="C9">
        <v>1</v>
      </c>
      <c r="D9" s="39">
        <v>4</v>
      </c>
    </row>
    <row r="10" spans="1:4" x14ac:dyDescent="0.35">
      <c r="A10" s="21" t="s">
        <v>401</v>
      </c>
      <c r="B10">
        <v>7</v>
      </c>
      <c r="C10">
        <v>1</v>
      </c>
      <c r="D10" s="39">
        <v>4</v>
      </c>
    </row>
    <row r="11" spans="1:4" x14ac:dyDescent="0.35">
      <c r="A11" s="21" t="s">
        <v>407</v>
      </c>
      <c r="B11">
        <v>7</v>
      </c>
      <c r="C11">
        <v>3</v>
      </c>
      <c r="D11" s="39">
        <v>3</v>
      </c>
    </row>
    <row r="12" spans="1:4" x14ac:dyDescent="0.35">
      <c r="A12" s="21" t="s">
        <v>403</v>
      </c>
      <c r="B12">
        <v>7</v>
      </c>
      <c r="C12">
        <v>3</v>
      </c>
      <c r="D12" s="39">
        <v>4</v>
      </c>
    </row>
    <row r="13" spans="1:4" ht="29" x14ac:dyDescent="0.35">
      <c r="A13" s="40" t="s">
        <v>408</v>
      </c>
      <c r="B13" s="41">
        <v>6</v>
      </c>
      <c r="C13" s="41">
        <v>4</v>
      </c>
      <c r="D13" s="42">
        <v>4</v>
      </c>
    </row>
    <row r="14" spans="1:4" x14ac:dyDescent="0.35">
      <c r="A14" s="31" t="s">
        <v>409</v>
      </c>
    </row>
  </sheetData>
  <mergeCells count="1">
    <mergeCell ref="B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FF96-A185-4E49-9E83-940FB26E4200}">
  <sheetPr>
    <tabColor theme="9"/>
  </sheetPr>
  <dimension ref="B1:E18"/>
  <sheetViews>
    <sheetView zoomScale="250" zoomScaleNormal="250" workbookViewId="0">
      <selection activeCell="D14" sqref="D14"/>
    </sheetView>
  </sheetViews>
  <sheetFormatPr defaultColWidth="9.1796875" defaultRowHeight="14.5" x14ac:dyDescent="0.35"/>
  <cols>
    <col min="1" max="1" width="0.81640625" style="1" customWidth="1"/>
    <col min="2" max="2" width="63" style="1" customWidth="1"/>
    <col min="3" max="4" width="9.1796875" style="1"/>
    <col min="5" max="5" width="18.7265625" style="1" customWidth="1"/>
    <col min="6" max="16384" width="9.1796875" style="1"/>
  </cols>
  <sheetData>
    <row r="1" spans="2:5" x14ac:dyDescent="0.35">
      <c r="B1" s="20" t="s">
        <v>394</v>
      </c>
    </row>
    <row r="2" spans="2:5" x14ac:dyDescent="0.35">
      <c r="B2" s="32"/>
      <c r="C2" s="154" t="s">
        <v>15</v>
      </c>
      <c r="D2" s="155" t="s">
        <v>16</v>
      </c>
      <c r="E2" s="156" t="s">
        <v>17</v>
      </c>
    </row>
    <row r="3" spans="2:5" ht="18" customHeight="1" x14ac:dyDescent="0.35">
      <c r="B3" s="35" t="s">
        <v>467</v>
      </c>
      <c r="C3" s="172">
        <v>3</v>
      </c>
      <c r="D3">
        <v>0</v>
      </c>
      <c r="E3" s="39">
        <v>0</v>
      </c>
    </row>
    <row r="4" spans="2:5" x14ac:dyDescent="0.35">
      <c r="B4" s="21" t="s">
        <v>466</v>
      </c>
      <c r="C4" s="172">
        <v>3</v>
      </c>
      <c r="D4">
        <v>0</v>
      </c>
      <c r="E4" s="39">
        <v>1</v>
      </c>
    </row>
    <row r="5" spans="2:5" x14ac:dyDescent="0.35">
      <c r="B5" s="21" t="s">
        <v>463</v>
      </c>
      <c r="C5" s="172">
        <v>3</v>
      </c>
      <c r="D5">
        <v>1</v>
      </c>
      <c r="E5" s="39">
        <v>1</v>
      </c>
    </row>
    <row r="6" spans="2:5" x14ac:dyDescent="0.35">
      <c r="B6" s="21" t="s">
        <v>464</v>
      </c>
      <c r="C6" s="172">
        <v>4</v>
      </c>
      <c r="D6">
        <v>1</v>
      </c>
      <c r="E6" s="39">
        <v>1</v>
      </c>
    </row>
    <row r="7" spans="2:5" x14ac:dyDescent="0.35">
      <c r="B7" s="21" t="s">
        <v>465</v>
      </c>
      <c r="C7" s="172">
        <v>4</v>
      </c>
      <c r="D7">
        <v>1</v>
      </c>
      <c r="E7" s="39">
        <v>2</v>
      </c>
    </row>
    <row r="8" spans="2:5" x14ac:dyDescent="0.35">
      <c r="B8" s="21" t="s">
        <v>463</v>
      </c>
      <c r="C8" s="172">
        <v>4</v>
      </c>
      <c r="D8">
        <v>2</v>
      </c>
      <c r="E8" s="39">
        <v>2</v>
      </c>
    </row>
    <row r="9" spans="2:5" x14ac:dyDescent="0.35">
      <c r="B9" s="21" t="s">
        <v>464</v>
      </c>
      <c r="C9" s="172">
        <v>5</v>
      </c>
      <c r="D9">
        <v>2</v>
      </c>
      <c r="E9" s="39">
        <v>2</v>
      </c>
    </row>
    <row r="10" spans="2:5" x14ac:dyDescent="0.35">
      <c r="B10" s="21" t="s">
        <v>464</v>
      </c>
      <c r="C10" s="172">
        <v>6</v>
      </c>
      <c r="D10">
        <v>2</v>
      </c>
      <c r="E10" s="39">
        <v>2</v>
      </c>
    </row>
    <row r="11" spans="2:5" x14ac:dyDescent="0.35">
      <c r="B11" s="21" t="s">
        <v>462</v>
      </c>
      <c r="C11" s="172">
        <v>6</v>
      </c>
      <c r="D11">
        <v>2</v>
      </c>
      <c r="E11" s="39">
        <v>3</v>
      </c>
    </row>
    <row r="12" spans="2:5" x14ac:dyDescent="0.35">
      <c r="B12" s="21" t="s">
        <v>464</v>
      </c>
      <c r="C12" s="172">
        <v>7</v>
      </c>
      <c r="D12">
        <v>2</v>
      </c>
      <c r="E12" s="39">
        <v>3</v>
      </c>
    </row>
    <row r="13" spans="2:5" x14ac:dyDescent="0.35">
      <c r="B13" s="21" t="s">
        <v>464</v>
      </c>
      <c r="C13" s="172">
        <v>8</v>
      </c>
      <c r="D13">
        <v>2</v>
      </c>
      <c r="E13" s="39">
        <v>3</v>
      </c>
    </row>
    <row r="14" spans="2:5" x14ac:dyDescent="0.35">
      <c r="B14" s="21" t="s">
        <v>463</v>
      </c>
      <c r="C14" s="172">
        <v>8</v>
      </c>
      <c r="D14">
        <v>3</v>
      </c>
      <c r="E14" s="39">
        <v>3</v>
      </c>
    </row>
    <row r="15" spans="2:5" x14ac:dyDescent="0.35">
      <c r="B15" s="21" t="s">
        <v>463</v>
      </c>
      <c r="C15" s="172">
        <v>8</v>
      </c>
      <c r="D15">
        <v>3</v>
      </c>
      <c r="E15" s="39">
        <v>3</v>
      </c>
    </row>
    <row r="16" spans="2:5" x14ac:dyDescent="0.35">
      <c r="B16" s="21" t="s">
        <v>462</v>
      </c>
      <c r="C16" s="171">
        <v>8</v>
      </c>
      <c r="D16" s="41">
        <v>4</v>
      </c>
      <c r="E16" s="42">
        <v>4</v>
      </c>
    </row>
    <row r="17" spans="2:2" x14ac:dyDescent="0.35">
      <c r="B17" s="40" t="s">
        <v>461</v>
      </c>
    </row>
    <row r="18" spans="2:2" x14ac:dyDescent="0.35">
      <c r="B18" s="31" t="s">
        <v>460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0972B-6D06-42A6-BA9A-138A0ACD7897}">
  <sheetPr>
    <tabColor theme="8" tint="0.59999389629810485"/>
  </sheetPr>
  <dimension ref="A1:D12"/>
  <sheetViews>
    <sheetView zoomScale="205" zoomScaleNormal="205" workbookViewId="0">
      <selection activeCell="A21" sqref="A21"/>
    </sheetView>
  </sheetViews>
  <sheetFormatPr defaultRowHeight="14.5" x14ac:dyDescent="0.35"/>
  <cols>
    <col min="1" max="1" width="63.81640625" bestFit="1" customWidth="1"/>
    <col min="2" max="3" width="9.1796875" style="11"/>
    <col min="4" max="4" width="18.1796875" style="11" customWidth="1"/>
  </cols>
  <sheetData>
    <row r="1" spans="1:4" ht="15" thickBot="1" x14ac:dyDescent="0.4">
      <c r="A1" s="182" t="s">
        <v>474</v>
      </c>
      <c r="B1" s="232" t="s">
        <v>374</v>
      </c>
      <c r="C1" s="232"/>
      <c r="D1" s="233"/>
    </row>
    <row r="2" spans="1:4" ht="15" thickBot="1" x14ac:dyDescent="0.4">
      <c r="A2" s="183" t="s">
        <v>314</v>
      </c>
      <c r="B2" s="184" t="s">
        <v>15</v>
      </c>
      <c r="C2" s="184" t="s">
        <v>16</v>
      </c>
      <c r="D2" s="185" t="s">
        <v>17</v>
      </c>
    </row>
    <row r="3" spans="1:4" x14ac:dyDescent="0.35">
      <c r="A3" s="180" t="s">
        <v>468</v>
      </c>
      <c r="B3" s="11">
        <v>2</v>
      </c>
      <c r="C3" s="11">
        <v>0</v>
      </c>
      <c r="D3" s="174">
        <v>0</v>
      </c>
    </row>
    <row r="4" spans="1:4" x14ac:dyDescent="0.35">
      <c r="A4" s="180" t="s">
        <v>469</v>
      </c>
      <c r="B4" s="11">
        <v>3</v>
      </c>
      <c r="C4" s="11">
        <v>0</v>
      </c>
      <c r="D4" s="174">
        <v>0</v>
      </c>
    </row>
    <row r="5" spans="1:4" x14ac:dyDescent="0.35">
      <c r="A5" s="180" t="s">
        <v>470</v>
      </c>
      <c r="B5" s="11">
        <v>3</v>
      </c>
      <c r="C5" s="11">
        <v>0</v>
      </c>
      <c r="D5" s="174">
        <v>1</v>
      </c>
    </row>
    <row r="6" spans="1:4" x14ac:dyDescent="0.35">
      <c r="A6" s="180" t="s">
        <v>471</v>
      </c>
      <c r="B6" s="11">
        <v>3</v>
      </c>
      <c r="C6" s="11">
        <v>1</v>
      </c>
      <c r="D6" s="174">
        <v>1</v>
      </c>
    </row>
    <row r="7" spans="1:4" ht="15" thickBot="1" x14ac:dyDescent="0.4">
      <c r="A7" s="180" t="s">
        <v>472</v>
      </c>
      <c r="B7" s="175" t="s">
        <v>410</v>
      </c>
      <c r="C7" s="175">
        <v>1</v>
      </c>
      <c r="D7" s="176">
        <v>1</v>
      </c>
    </row>
    <row r="8" spans="1:4" x14ac:dyDescent="0.35">
      <c r="A8" s="180" t="s">
        <v>477</v>
      </c>
    </row>
    <row r="9" spans="1:4" ht="15" thickBot="1" x14ac:dyDescent="0.4">
      <c r="A9" s="181" t="s">
        <v>478</v>
      </c>
    </row>
    <row r="10" spans="1:4" x14ac:dyDescent="0.35">
      <c r="A10" s="177" t="s">
        <v>473</v>
      </c>
    </row>
    <row r="11" spans="1:4" x14ac:dyDescent="0.35">
      <c r="A11" s="178" t="s">
        <v>476</v>
      </c>
    </row>
    <row r="12" spans="1:4" ht="15" thickBot="1" x14ac:dyDescent="0.4">
      <c r="A12" s="179" t="s">
        <v>475</v>
      </c>
    </row>
  </sheetData>
  <mergeCells count="1">
    <mergeCell ref="B1:D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6BB9-5DA4-4CEC-8B84-6C22ADF23952}">
  <sheetPr>
    <tabColor theme="8" tint="0.59999389629810485"/>
  </sheetPr>
  <dimension ref="A1:D8"/>
  <sheetViews>
    <sheetView zoomScale="220" zoomScaleNormal="220" workbookViewId="0">
      <selection activeCell="C11" sqref="C11"/>
    </sheetView>
  </sheetViews>
  <sheetFormatPr defaultRowHeight="14.5" x14ac:dyDescent="0.35"/>
  <cols>
    <col min="1" max="1" width="63.81640625" bestFit="1" customWidth="1"/>
    <col min="2" max="2" width="13.1796875" customWidth="1"/>
    <col min="3" max="3" width="10.26953125" customWidth="1"/>
    <col min="4" max="4" width="17.7265625" customWidth="1"/>
  </cols>
  <sheetData>
    <row r="1" spans="1:4" ht="15" thickBot="1" x14ac:dyDescent="0.4">
      <c r="A1" s="189" t="s">
        <v>394</v>
      </c>
      <c r="B1" s="234" t="s">
        <v>374</v>
      </c>
      <c r="C1" s="235"/>
      <c r="D1" s="236"/>
    </row>
    <row r="2" spans="1:4" ht="15" thickBot="1" x14ac:dyDescent="0.4">
      <c r="A2" s="183" t="s">
        <v>314</v>
      </c>
      <c r="B2" s="28" t="s">
        <v>15</v>
      </c>
      <c r="C2" s="29" t="s">
        <v>16</v>
      </c>
      <c r="D2" s="173" t="s">
        <v>17</v>
      </c>
    </row>
    <row r="3" spans="1:4" x14ac:dyDescent="0.35">
      <c r="A3" s="186" t="s">
        <v>479</v>
      </c>
      <c r="B3" s="23">
        <v>2</v>
      </c>
      <c r="C3" s="11">
        <v>0</v>
      </c>
      <c r="D3" s="174">
        <v>0</v>
      </c>
    </row>
    <row r="4" spans="1:4" x14ac:dyDescent="0.35">
      <c r="A4" s="186" t="s">
        <v>481</v>
      </c>
      <c r="B4" s="23">
        <v>2</v>
      </c>
      <c r="C4" s="11">
        <v>0</v>
      </c>
      <c r="D4" s="174">
        <v>1</v>
      </c>
    </row>
    <row r="5" spans="1:4" x14ac:dyDescent="0.35">
      <c r="A5" s="186" t="s">
        <v>480</v>
      </c>
      <c r="B5" s="23">
        <v>2</v>
      </c>
      <c r="C5" s="11">
        <v>1</v>
      </c>
      <c r="D5" s="174">
        <v>1</v>
      </c>
    </row>
    <row r="6" spans="1:4" ht="15" thickBot="1" x14ac:dyDescent="0.4">
      <c r="A6" s="187" t="s">
        <v>482</v>
      </c>
      <c r="B6" s="188" t="s">
        <v>410</v>
      </c>
      <c r="C6" s="175">
        <v>1</v>
      </c>
      <c r="D6" s="176">
        <v>1</v>
      </c>
    </row>
    <row r="7" spans="1:4" x14ac:dyDescent="0.35">
      <c r="A7" s="237" t="s">
        <v>483</v>
      </c>
    </row>
    <row r="8" spans="1:4" ht="15" thickBot="1" x14ac:dyDescent="0.4">
      <c r="A8" s="238"/>
    </row>
  </sheetData>
  <mergeCells count="2">
    <mergeCell ref="B1:D1"/>
    <mergeCell ref="A7:A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CFF4-4FD7-467B-9F93-73C4ED44495D}">
  <sheetPr>
    <tabColor theme="8" tint="0.59999389629810485"/>
  </sheetPr>
  <dimension ref="A1:D8"/>
  <sheetViews>
    <sheetView zoomScale="220" zoomScaleNormal="220" workbookViewId="0">
      <selection activeCell="A10" sqref="A10"/>
    </sheetView>
  </sheetViews>
  <sheetFormatPr defaultRowHeight="14.5" x14ac:dyDescent="0.35"/>
  <cols>
    <col min="1" max="1" width="93.453125" bestFit="1" customWidth="1"/>
    <col min="2" max="2" width="18.26953125" customWidth="1"/>
    <col min="3" max="3" width="18.81640625" customWidth="1"/>
    <col min="4" max="4" width="13.7265625" customWidth="1"/>
  </cols>
  <sheetData>
    <row r="1" spans="1:4" x14ac:dyDescent="0.35">
      <c r="A1" s="33" t="s">
        <v>394</v>
      </c>
      <c r="B1" s="239" t="s">
        <v>374</v>
      </c>
      <c r="C1" s="240"/>
      <c r="D1" s="241"/>
    </row>
    <row r="2" spans="1:4" x14ac:dyDescent="0.35">
      <c r="A2" s="72"/>
      <c r="B2" s="28" t="s">
        <v>15</v>
      </c>
      <c r="C2" s="29" t="s">
        <v>16</v>
      </c>
      <c r="D2" s="30" t="s">
        <v>17</v>
      </c>
    </row>
    <row r="3" spans="1:4" x14ac:dyDescent="0.35">
      <c r="A3" s="21" t="s">
        <v>453</v>
      </c>
      <c r="B3" s="23">
        <v>2</v>
      </c>
      <c r="C3" s="11">
        <v>0</v>
      </c>
      <c r="D3" s="24">
        <v>0</v>
      </c>
    </row>
    <row r="4" spans="1:4" x14ac:dyDescent="0.35">
      <c r="A4" s="21" t="s">
        <v>454</v>
      </c>
      <c r="B4" s="23">
        <v>2</v>
      </c>
      <c r="C4" s="11">
        <v>0</v>
      </c>
      <c r="D4" s="24">
        <v>1</v>
      </c>
    </row>
    <row r="5" spans="1:4" x14ac:dyDescent="0.35">
      <c r="A5" s="21" t="s">
        <v>455</v>
      </c>
      <c r="B5" s="23">
        <v>2</v>
      </c>
      <c r="C5" s="11">
        <v>1</v>
      </c>
      <c r="D5" s="24">
        <v>1</v>
      </c>
    </row>
    <row r="6" spans="1:4" x14ac:dyDescent="0.35">
      <c r="A6" s="21" t="s">
        <v>456</v>
      </c>
      <c r="B6" s="23"/>
      <c r="C6" s="11"/>
      <c r="D6" s="24"/>
    </row>
    <row r="7" spans="1:4" x14ac:dyDescent="0.35">
      <c r="A7" s="34" t="s">
        <v>457</v>
      </c>
      <c r="B7" s="25" t="s">
        <v>410</v>
      </c>
      <c r="C7" s="26">
        <v>1</v>
      </c>
      <c r="D7" s="27">
        <v>1</v>
      </c>
    </row>
    <row r="8" spans="1:4" x14ac:dyDescent="0.35">
      <c r="A8" s="22"/>
    </row>
  </sheetData>
  <mergeCells count="1">
    <mergeCell ref="B1: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9EE7-36A1-4E01-94B3-3450CDBDC396}">
  <dimension ref="A1:N14"/>
  <sheetViews>
    <sheetView zoomScale="400" zoomScaleNormal="400" workbookViewId="0">
      <pane xSplit="1" ySplit="1" topLeftCell="B2" activePane="bottomRight" state="frozen"/>
      <selection pane="topRight" activeCell="A2" sqref="A2:A5"/>
      <selection pane="bottomLeft" activeCell="A2" sqref="A2:A5"/>
      <selection pane="bottomRight" activeCell="A2" sqref="A2:A5"/>
    </sheetView>
  </sheetViews>
  <sheetFormatPr defaultColWidth="11.7265625" defaultRowHeight="14.5" x14ac:dyDescent="0.35"/>
  <cols>
    <col min="1" max="1" width="14" style="102" bestFit="1" customWidth="1"/>
    <col min="2" max="2" width="17.81640625" style="102" hidden="1" customWidth="1"/>
    <col min="3" max="3" width="14.26953125" style="102" hidden="1" customWidth="1"/>
    <col min="4" max="4" width="15.453125" style="102" hidden="1" customWidth="1"/>
    <col min="5" max="5" width="17.453125" style="102" hidden="1" customWidth="1"/>
    <col min="6" max="6" width="16.453125" style="102" hidden="1" customWidth="1"/>
    <col min="7" max="7" width="13.81640625" style="102" hidden="1" customWidth="1"/>
    <col min="8" max="8" width="16.453125" style="102" customWidth="1"/>
    <col min="9" max="9" width="13.81640625" style="102" hidden="1" customWidth="1"/>
    <col min="10" max="10" width="16" style="102" hidden="1" customWidth="1"/>
    <col min="11" max="11" width="15.453125" style="102" hidden="1" customWidth="1"/>
    <col min="12" max="12" width="25.54296875" style="102" customWidth="1"/>
    <col min="13" max="13" width="13.453125" style="102" hidden="1" customWidth="1"/>
    <col min="14" max="14" width="15.453125" style="102" hidden="1" customWidth="1"/>
    <col min="15" max="16384" width="11.7265625" style="102"/>
  </cols>
  <sheetData>
    <row r="1" spans="1:14" x14ac:dyDescent="0.35">
      <c r="B1" s="103" t="s">
        <v>196</v>
      </c>
      <c r="C1" s="103" t="s">
        <v>135</v>
      </c>
      <c r="D1" s="103" t="s">
        <v>236</v>
      </c>
      <c r="E1" s="103" t="s">
        <v>304</v>
      </c>
      <c r="F1" s="103" t="s">
        <v>78</v>
      </c>
      <c r="G1" s="104" t="s">
        <v>147</v>
      </c>
      <c r="H1" s="103" t="s">
        <v>158</v>
      </c>
      <c r="I1" s="103" t="s">
        <v>174</v>
      </c>
      <c r="J1" s="103" t="s">
        <v>120</v>
      </c>
      <c r="K1" s="103" t="s">
        <v>85</v>
      </c>
      <c r="L1" s="103" t="s">
        <v>113</v>
      </c>
      <c r="M1" s="103" t="s">
        <v>92</v>
      </c>
      <c r="N1" s="103" t="s">
        <v>55</v>
      </c>
    </row>
    <row r="2" spans="1:14" x14ac:dyDescent="0.35">
      <c r="A2" s="105" t="s">
        <v>411</v>
      </c>
      <c r="B2" s="106">
        <v>9.2857142857142865</v>
      </c>
      <c r="C2" s="106">
        <v>4</v>
      </c>
      <c r="D2" s="106">
        <v>7</v>
      </c>
      <c r="E2" s="106">
        <v>4</v>
      </c>
      <c r="F2" s="106">
        <v>7.5</v>
      </c>
      <c r="G2" s="106">
        <v>5</v>
      </c>
      <c r="H2" s="106">
        <v>6.4285714285714288</v>
      </c>
      <c r="I2" s="106">
        <v>5</v>
      </c>
      <c r="J2" s="106">
        <v>6</v>
      </c>
      <c r="K2" s="106">
        <v>5</v>
      </c>
      <c r="L2" s="106">
        <v>8</v>
      </c>
      <c r="M2" s="106">
        <v>5</v>
      </c>
      <c r="N2" s="106">
        <v>8.75</v>
      </c>
    </row>
    <row r="3" spans="1:14" x14ac:dyDescent="0.35">
      <c r="A3" s="105" t="s">
        <v>412</v>
      </c>
      <c r="B3" s="107" t="s">
        <v>413</v>
      </c>
      <c r="C3" s="107" t="s">
        <v>414</v>
      </c>
      <c r="D3" s="107" t="s">
        <v>415</v>
      </c>
      <c r="E3" s="107" t="s">
        <v>416</v>
      </c>
      <c r="F3" s="108" t="s">
        <v>417</v>
      </c>
      <c r="G3" s="108" t="s">
        <v>418</v>
      </c>
      <c r="H3" s="107" t="s">
        <v>159</v>
      </c>
      <c r="I3" s="107" t="s">
        <v>418</v>
      </c>
      <c r="J3" s="107" t="s">
        <v>419</v>
      </c>
      <c r="K3" s="107" t="s">
        <v>420</v>
      </c>
      <c r="L3" s="107" t="s">
        <v>421</v>
      </c>
      <c r="M3" s="107" t="s">
        <v>414</v>
      </c>
      <c r="N3" s="107"/>
    </row>
    <row r="4" spans="1:14" x14ac:dyDescent="0.35">
      <c r="A4" s="105" t="s">
        <v>422</v>
      </c>
      <c r="B4" s="106">
        <v>1.0625</v>
      </c>
      <c r="C4" s="106">
        <v>1.125</v>
      </c>
      <c r="D4" s="106">
        <v>1</v>
      </c>
      <c r="E4" s="106">
        <v>0.72222222222222221</v>
      </c>
      <c r="F4" s="106">
        <v>1.2777777777777777</v>
      </c>
      <c r="G4" s="106">
        <v>1.1176470588235294</v>
      </c>
      <c r="H4" s="106">
        <v>1</v>
      </c>
      <c r="I4" s="106">
        <v>1</v>
      </c>
      <c r="J4" s="106">
        <v>1.0714285714285714</v>
      </c>
      <c r="K4" s="106">
        <v>1.1538461538461537</v>
      </c>
      <c r="L4" s="106">
        <v>1.0769230769230769</v>
      </c>
      <c r="M4" s="106">
        <v>1.2105263157894737</v>
      </c>
      <c r="N4" s="106">
        <v>1.2941176470588236</v>
      </c>
    </row>
    <row r="5" spans="1:14" x14ac:dyDescent="0.35">
      <c r="A5" s="105" t="s">
        <v>22</v>
      </c>
      <c r="B5" s="109">
        <v>85</v>
      </c>
      <c r="C5" s="109">
        <v>90</v>
      </c>
      <c r="D5" s="109">
        <v>115</v>
      </c>
      <c r="E5" s="109">
        <v>65</v>
      </c>
      <c r="F5" s="109">
        <v>115</v>
      </c>
      <c r="G5" s="110">
        <v>95</v>
      </c>
      <c r="H5" s="109">
        <v>120</v>
      </c>
      <c r="I5" s="109">
        <v>70</v>
      </c>
      <c r="J5" s="109">
        <v>75</v>
      </c>
      <c r="K5" s="109">
        <v>150</v>
      </c>
      <c r="L5" s="109">
        <v>140</v>
      </c>
      <c r="M5" s="109">
        <v>115</v>
      </c>
      <c r="N5" s="109">
        <v>110</v>
      </c>
    </row>
    <row r="6" spans="1:14" x14ac:dyDescent="0.35">
      <c r="A6" s="105" t="s">
        <v>33</v>
      </c>
      <c r="B6" s="111">
        <v>0.1</v>
      </c>
      <c r="C6" s="111">
        <v>0.05</v>
      </c>
      <c r="D6" s="111">
        <v>0.6</v>
      </c>
      <c r="E6" s="111">
        <v>0.1</v>
      </c>
      <c r="F6" s="111">
        <v>0.15</v>
      </c>
      <c r="G6" s="111">
        <v>0.1</v>
      </c>
      <c r="H6" s="111">
        <v>0.2</v>
      </c>
      <c r="I6" s="111">
        <v>0.05</v>
      </c>
      <c r="J6" s="111">
        <v>0.15</v>
      </c>
      <c r="K6" s="111">
        <v>0.7</v>
      </c>
      <c r="L6" s="111">
        <v>0.15</v>
      </c>
      <c r="M6" s="111">
        <v>0.1</v>
      </c>
      <c r="N6" s="111">
        <v>0.1</v>
      </c>
    </row>
    <row r="7" spans="1:14" x14ac:dyDescent="0.35">
      <c r="A7" s="105" t="s">
        <v>32</v>
      </c>
      <c r="B7" s="111">
        <v>0.35</v>
      </c>
      <c r="C7" s="111">
        <v>0.35</v>
      </c>
      <c r="D7" s="111">
        <v>0.1</v>
      </c>
      <c r="E7" s="111">
        <v>0.3</v>
      </c>
      <c r="F7" s="111">
        <v>0.4</v>
      </c>
      <c r="G7" s="111">
        <v>0.35</v>
      </c>
      <c r="H7" s="111">
        <v>0.4</v>
      </c>
      <c r="I7" s="111">
        <v>0.4</v>
      </c>
      <c r="J7" s="111">
        <v>0.4</v>
      </c>
      <c r="K7" s="111">
        <v>0.3</v>
      </c>
      <c r="L7" s="111">
        <v>0.4</v>
      </c>
      <c r="M7" s="111">
        <v>0.35</v>
      </c>
      <c r="N7" s="111">
        <v>0.4</v>
      </c>
    </row>
    <row r="8" spans="1:14" x14ac:dyDescent="0.35">
      <c r="A8" s="105" t="s">
        <v>36</v>
      </c>
      <c r="B8" s="112">
        <v>4.8</v>
      </c>
      <c r="C8" s="112">
        <v>4.8</v>
      </c>
      <c r="D8" s="112">
        <v>5</v>
      </c>
      <c r="E8" s="112">
        <v>4</v>
      </c>
      <c r="F8" s="112">
        <v>4.2</v>
      </c>
      <c r="G8" s="112">
        <v>4.3</v>
      </c>
      <c r="H8" s="112">
        <v>4.3</v>
      </c>
      <c r="I8" s="112">
        <v>4.3</v>
      </c>
      <c r="J8" s="112">
        <v>5</v>
      </c>
      <c r="K8" s="112">
        <v>3.6</v>
      </c>
      <c r="L8" s="112">
        <v>4.3</v>
      </c>
      <c r="M8" s="112">
        <v>4.5</v>
      </c>
      <c r="N8" s="112">
        <v>4.5</v>
      </c>
    </row>
    <row r="9" spans="1:14" hidden="1" x14ac:dyDescent="0.35">
      <c r="E9" s="114" t="s">
        <v>423</v>
      </c>
      <c r="H9" s="113"/>
    </row>
    <row r="10" spans="1:14" hidden="1" x14ac:dyDescent="0.35"/>
    <row r="11" spans="1:14" hidden="1" x14ac:dyDescent="0.35">
      <c r="D11" s="102">
        <f>75+40</f>
        <v>115</v>
      </c>
      <c r="K11" s="102">
        <f>D11*5</f>
        <v>575</v>
      </c>
    </row>
    <row r="12" spans="1:14" hidden="1" x14ac:dyDescent="0.35">
      <c r="D12" s="102">
        <f>90</f>
        <v>90</v>
      </c>
      <c r="K12" s="102">
        <f>D12*6</f>
        <v>540</v>
      </c>
    </row>
    <row r="13" spans="1:14" hidden="1" x14ac:dyDescent="0.35">
      <c r="F13" s="102">
        <f>90*20</f>
        <v>1800</v>
      </c>
      <c r="H13" s="102">
        <f>90*20</f>
        <v>1800</v>
      </c>
    </row>
    <row r="14" spans="1:14" hidden="1" x14ac:dyDescent="0.35">
      <c r="F14" s="102">
        <f>130*14</f>
        <v>1820</v>
      </c>
      <c r="H14" s="102">
        <f>120*15</f>
        <v>1800</v>
      </c>
    </row>
  </sheetData>
  <conditionalFormatting sqref="B1:N1">
    <cfRule type="duplicateValues" dxfId="8" priority="13"/>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0E02B-D8CA-45BC-BF78-3C41774BB9DD}">
  <dimension ref="A1:K7"/>
  <sheetViews>
    <sheetView topLeftCell="D1" zoomScale="295" zoomScaleNormal="295" workbookViewId="0">
      <selection activeCell="A2" sqref="A2:A5"/>
    </sheetView>
  </sheetViews>
  <sheetFormatPr defaultColWidth="11.7265625" defaultRowHeight="14.5" x14ac:dyDescent="0.35"/>
  <cols>
    <col min="1" max="1" width="14.453125" style="90" bestFit="1" customWidth="1"/>
    <col min="2" max="2" width="11.54296875" style="90" customWidth="1"/>
    <col min="3" max="3" width="17.54296875" style="90" customWidth="1"/>
    <col min="4" max="4" width="15.26953125" style="90" customWidth="1"/>
    <col min="5" max="5" width="12" style="90" customWidth="1"/>
    <col min="6" max="6" width="15.1796875" style="90" customWidth="1"/>
    <col min="7" max="7" width="15.26953125" style="90" customWidth="1"/>
    <col min="8" max="8" width="11.7265625" style="90" customWidth="1"/>
    <col min="9" max="9" width="15.26953125" style="90" customWidth="1"/>
    <col min="10" max="10" width="16.1796875" style="90" customWidth="1"/>
    <col min="11" max="11" width="11.7265625" style="90" hidden="1" customWidth="1"/>
    <col min="12" max="12" width="11.7265625" style="90" customWidth="1"/>
    <col min="13" max="16384" width="11.7265625" style="90"/>
  </cols>
  <sheetData>
    <row r="1" spans="1:11" x14ac:dyDescent="0.35">
      <c r="B1" s="91" t="s">
        <v>285</v>
      </c>
      <c r="C1" s="91" t="s">
        <v>304</v>
      </c>
      <c r="D1" s="91" t="s">
        <v>261</v>
      </c>
      <c r="E1" s="91" t="s">
        <v>249</v>
      </c>
      <c r="F1" s="91" t="s">
        <v>290</v>
      </c>
      <c r="G1" s="91" t="s">
        <v>275</v>
      </c>
      <c r="H1" s="91" t="s">
        <v>254</v>
      </c>
      <c r="I1" s="91" t="s">
        <v>270</v>
      </c>
      <c r="J1" s="91" t="s">
        <v>72</v>
      </c>
      <c r="K1" s="91" t="s">
        <v>242</v>
      </c>
    </row>
    <row r="2" spans="1:11" x14ac:dyDescent="0.35">
      <c r="A2" s="91" t="s">
        <v>424</v>
      </c>
      <c r="B2" s="98">
        <v>3.6111111111111108E-2</v>
      </c>
      <c r="C2" s="99">
        <v>4.4444444444444446E-2</v>
      </c>
      <c r="D2" s="99">
        <v>6.6666666666666666E-2</v>
      </c>
      <c r="E2" s="101">
        <v>3.7037037037037042E-2</v>
      </c>
      <c r="F2" s="99">
        <v>3.5714285714285712E-2</v>
      </c>
      <c r="G2" s="99">
        <v>4.7619047619047623E-2</v>
      </c>
      <c r="H2" s="99">
        <v>3.5294117647058823E-2</v>
      </c>
      <c r="I2" s="99">
        <v>5.2631578947368418E-2</v>
      </c>
      <c r="J2" s="99">
        <v>2.7906976744186046E-2</v>
      </c>
      <c r="K2" s="100">
        <v>3.5947712418300651E-2</v>
      </c>
    </row>
    <row r="3" spans="1:11" x14ac:dyDescent="0.35">
      <c r="A3" s="91" t="s">
        <v>35</v>
      </c>
      <c r="B3" s="98">
        <v>16</v>
      </c>
      <c r="C3" s="99">
        <v>10</v>
      </c>
      <c r="D3" s="99">
        <v>15</v>
      </c>
      <c r="E3" s="101">
        <v>18</v>
      </c>
      <c r="F3" s="99">
        <v>23</v>
      </c>
      <c r="G3" s="99">
        <v>20</v>
      </c>
      <c r="H3" s="99">
        <v>17</v>
      </c>
      <c r="I3" s="99">
        <v>20</v>
      </c>
      <c r="J3" s="99">
        <v>20</v>
      </c>
      <c r="K3" s="100">
        <v>12</v>
      </c>
    </row>
    <row r="4" spans="1:11" x14ac:dyDescent="0.35">
      <c r="A4" s="91" t="s">
        <v>422</v>
      </c>
      <c r="B4" s="98">
        <v>0.70833333333333337</v>
      </c>
      <c r="C4" s="99">
        <v>0.72222222222222221</v>
      </c>
      <c r="D4" s="99">
        <v>0.72222222222222221</v>
      </c>
      <c r="E4" s="99">
        <v>0.77777777777777779</v>
      </c>
      <c r="F4" s="99">
        <v>0.375</v>
      </c>
      <c r="G4" s="99">
        <v>0.6785714285714286</v>
      </c>
      <c r="H4" s="99">
        <v>0.76470588235294112</v>
      </c>
      <c r="I4" s="99">
        <v>0.68421052631578949</v>
      </c>
      <c r="J4" s="99">
        <v>0.39534883720930231</v>
      </c>
      <c r="K4" s="100">
        <v>0.94117647058823528</v>
      </c>
    </row>
    <row r="5" spans="1:11" x14ac:dyDescent="0.35">
      <c r="A5" s="91" t="s">
        <v>36</v>
      </c>
      <c r="B5" s="98">
        <v>4</v>
      </c>
      <c r="C5" s="99">
        <v>4</v>
      </c>
      <c r="D5" s="99">
        <v>4</v>
      </c>
      <c r="E5" s="99">
        <v>4</v>
      </c>
      <c r="F5" s="99">
        <v>3.8</v>
      </c>
      <c r="G5" s="99">
        <v>5</v>
      </c>
      <c r="H5" s="99">
        <v>4</v>
      </c>
      <c r="I5" s="99">
        <v>4</v>
      </c>
      <c r="J5" s="99">
        <v>3.8</v>
      </c>
      <c r="K5" s="100">
        <v>5.5</v>
      </c>
    </row>
    <row r="6" spans="1:11" ht="29" x14ac:dyDescent="0.35">
      <c r="A6" s="91" t="s">
        <v>412</v>
      </c>
      <c r="B6" s="92" t="s">
        <v>425</v>
      </c>
      <c r="C6" s="93" t="s">
        <v>416</v>
      </c>
      <c r="D6" s="94" t="s">
        <v>426</v>
      </c>
      <c r="E6" s="94" t="s">
        <v>427</v>
      </c>
      <c r="F6" s="93" t="s">
        <v>428</v>
      </c>
      <c r="G6" s="94" t="s">
        <v>426</v>
      </c>
      <c r="H6" s="93" t="s">
        <v>429</v>
      </c>
      <c r="I6" s="94" t="s">
        <v>426</v>
      </c>
      <c r="J6" s="95" t="s">
        <v>430</v>
      </c>
      <c r="K6" s="96" t="s">
        <v>431</v>
      </c>
    </row>
    <row r="7" spans="1:11" x14ac:dyDescent="0.35">
      <c r="J7" s="97"/>
    </row>
  </sheetData>
  <conditionalFormatting sqref="B2:K2">
    <cfRule type="top10" dxfId="7" priority="5" bottom="1" rank="1"/>
    <cfRule type="top10" dxfId="6" priority="6" rank="1"/>
  </conditionalFormatting>
  <conditionalFormatting sqref="B3:K3">
    <cfRule type="top10" dxfId="5" priority="7" bottom="1" rank="1"/>
    <cfRule type="top10" dxfId="4" priority="8" rank="1"/>
  </conditionalFormatting>
  <conditionalFormatting sqref="B4:K4">
    <cfRule type="top10" dxfId="3" priority="1" bottom="1" rank="1"/>
    <cfRule type="top10" dxfId="2" priority="2" rank="1"/>
  </conditionalFormatting>
  <conditionalFormatting sqref="B5:K5">
    <cfRule type="top10" dxfId="1" priority="3" bottom="1" rank="1"/>
    <cfRule type="top10" dxfId="0" priority="4" rank="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081D-CE47-42AB-8B98-12C72EC9B25A}">
  <dimension ref="A1:I5"/>
  <sheetViews>
    <sheetView zoomScale="400" zoomScaleNormal="400" workbookViewId="0">
      <selection activeCell="A2" sqref="A2:A5"/>
    </sheetView>
  </sheetViews>
  <sheetFormatPr defaultColWidth="6" defaultRowHeight="14.5" x14ac:dyDescent="0.35"/>
  <cols>
    <col min="1" max="1" width="21.81640625" bestFit="1" customWidth="1"/>
    <col min="2" max="2" width="11.81640625" hidden="1" customWidth="1"/>
    <col min="3" max="3" width="8" hidden="1" customWidth="1"/>
    <col min="4" max="4" width="11.81640625" hidden="1" customWidth="1"/>
    <col min="5" max="5" width="11.54296875" hidden="1" customWidth="1"/>
    <col min="6" max="6" width="14.81640625" hidden="1" customWidth="1"/>
    <col min="7" max="7" width="11.54296875" hidden="1" customWidth="1"/>
    <col min="8" max="8" width="12.7265625" hidden="1" customWidth="1"/>
    <col min="9" max="9" width="11.81640625" hidden="1" customWidth="1"/>
  </cols>
  <sheetData>
    <row r="1" spans="1:9" x14ac:dyDescent="0.35">
      <c r="B1" s="76" t="s">
        <v>432</v>
      </c>
      <c r="C1" s="76" t="s">
        <v>102</v>
      </c>
      <c r="D1" s="76" t="s">
        <v>228</v>
      </c>
      <c r="E1" s="76" t="s">
        <v>199</v>
      </c>
      <c r="F1" s="76" t="s">
        <v>233</v>
      </c>
      <c r="G1" s="76" t="s">
        <v>229</v>
      </c>
      <c r="H1" s="76" t="s">
        <v>51</v>
      </c>
      <c r="I1" s="76" t="s">
        <v>175</v>
      </c>
    </row>
    <row r="2" spans="1:9" x14ac:dyDescent="0.35">
      <c r="A2" s="76" t="s">
        <v>36</v>
      </c>
      <c r="B2" s="77">
        <v>6</v>
      </c>
      <c r="C2" s="74">
        <v>4.8</v>
      </c>
      <c r="D2" s="74">
        <v>5.5</v>
      </c>
      <c r="E2" s="82">
        <v>6</v>
      </c>
      <c r="F2" s="74">
        <v>5</v>
      </c>
      <c r="G2" s="82">
        <v>6</v>
      </c>
      <c r="H2" s="74">
        <v>2.9</v>
      </c>
      <c r="I2" s="74">
        <v>5.8</v>
      </c>
    </row>
    <row r="3" spans="1:9" x14ac:dyDescent="0.35">
      <c r="A3" s="76" t="s">
        <v>433</v>
      </c>
      <c r="B3" s="74">
        <v>1.49</v>
      </c>
      <c r="C3" s="77">
        <v>1.8</v>
      </c>
      <c r="D3" s="74">
        <v>1.56</v>
      </c>
      <c r="E3" s="74">
        <v>1.41</v>
      </c>
      <c r="F3" s="74">
        <v>1.4</v>
      </c>
      <c r="G3" s="74">
        <v>1.41</v>
      </c>
      <c r="H3" s="77">
        <v>3.51</v>
      </c>
      <c r="I3" s="77">
        <v>1.79</v>
      </c>
    </row>
    <row r="4" spans="1:9" x14ac:dyDescent="0.35">
      <c r="A4" s="76" t="s">
        <v>434</v>
      </c>
      <c r="B4" s="78">
        <v>8.3000000000000004E-2</v>
      </c>
      <c r="C4" s="81">
        <v>7.6999999999999999E-2</v>
      </c>
      <c r="D4" s="78">
        <v>8.3000000000000004E-2</v>
      </c>
      <c r="E4" s="78">
        <v>5.6000000000000001E-2</v>
      </c>
      <c r="F4" s="81">
        <v>7.0999999999999994E-2</v>
      </c>
      <c r="G4" s="78">
        <v>6.7000000000000004E-2</v>
      </c>
      <c r="H4" s="78">
        <v>8.4000000000000005E-2</v>
      </c>
      <c r="I4" s="79">
        <v>0.09</v>
      </c>
    </row>
    <row r="5" spans="1:9" x14ac:dyDescent="0.35">
      <c r="A5" s="76" t="s">
        <v>435</v>
      </c>
      <c r="B5" s="75" t="s">
        <v>176</v>
      </c>
      <c r="C5" s="75" t="s">
        <v>436</v>
      </c>
      <c r="D5" s="75" t="s">
        <v>176</v>
      </c>
      <c r="E5" s="80" t="s">
        <v>200</v>
      </c>
      <c r="F5" s="80" t="s">
        <v>437</v>
      </c>
      <c r="G5" s="77" t="s">
        <v>438</v>
      </c>
      <c r="H5" s="75" t="s">
        <v>439</v>
      </c>
      <c r="I5" s="75" t="s">
        <v>176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1A7C-A26B-4428-9CBC-DDB27D04A27F}">
  <sheetPr codeName="Sheet14"/>
  <dimension ref="A1:I55"/>
  <sheetViews>
    <sheetView workbookViewId="0">
      <selection sqref="A1:C1"/>
    </sheetView>
  </sheetViews>
  <sheetFormatPr defaultRowHeight="14.5" x14ac:dyDescent="0.35"/>
  <cols>
    <col min="1" max="1" width="10.453125" style="8" bestFit="1" customWidth="1"/>
    <col min="9" max="9" width="10" bestFit="1" customWidth="1"/>
  </cols>
  <sheetData>
    <row r="1" spans="1:9" x14ac:dyDescent="0.35">
      <c r="A1" s="8">
        <v>0</v>
      </c>
      <c r="B1">
        <v>4</v>
      </c>
      <c r="E1" s="8">
        <v>0</v>
      </c>
      <c r="F1">
        <v>4</v>
      </c>
      <c r="I1" s="9"/>
    </row>
    <row r="2" spans="1:9" x14ac:dyDescent="0.35">
      <c r="A2" s="8">
        <v>1.7361111111111112E-4</v>
      </c>
      <c r="B2">
        <v>1</v>
      </c>
      <c r="C2">
        <f>SUM($B$1:B2)</f>
        <v>5</v>
      </c>
      <c r="E2" s="8">
        <v>1.7361111111111112E-4</v>
      </c>
      <c r="F2">
        <v>1</v>
      </c>
      <c r="G2">
        <f>SUM($F$1:F2)</f>
        <v>5</v>
      </c>
    </row>
    <row r="3" spans="1:9" x14ac:dyDescent="0.35">
      <c r="A3" s="8">
        <f>A2+0.000173611111111111</f>
        <v>3.4722222222222213E-4</v>
      </c>
      <c r="B3">
        <v>1</v>
      </c>
      <c r="C3">
        <f>SUM($B$1:B3)</f>
        <v>6</v>
      </c>
      <c r="E3" s="8">
        <f>E2+0.000173611111111111</f>
        <v>3.4722222222222213E-4</v>
      </c>
      <c r="F3">
        <v>1</v>
      </c>
      <c r="G3">
        <f>SUM($F$1:F3)</f>
        <v>6</v>
      </c>
    </row>
    <row r="4" spans="1:9" x14ac:dyDescent="0.35">
      <c r="A4" s="8">
        <f t="shared" ref="A4:A14" si="0">A3+0.000173611111111111</f>
        <v>5.2083333333333311E-4</v>
      </c>
      <c r="B4">
        <v>1</v>
      </c>
      <c r="C4">
        <f>SUM($B$1:B4)</f>
        <v>7</v>
      </c>
      <c r="E4" s="8">
        <f t="shared" ref="E4:E15" si="1">E3+0.000173611111111111</f>
        <v>5.2083333333333311E-4</v>
      </c>
      <c r="F4">
        <v>1</v>
      </c>
      <c r="G4">
        <f>SUM($F$1:F4)</f>
        <v>7</v>
      </c>
    </row>
    <row r="5" spans="1:9" x14ac:dyDescent="0.35">
      <c r="A5" s="8">
        <f t="shared" si="0"/>
        <v>6.9444444444444415E-4</v>
      </c>
      <c r="B5">
        <v>1</v>
      </c>
      <c r="C5">
        <f>SUM($B$1:B5)</f>
        <v>8</v>
      </c>
      <c r="E5" s="8">
        <f t="shared" si="1"/>
        <v>6.9444444444444415E-4</v>
      </c>
      <c r="F5">
        <v>1</v>
      </c>
      <c r="G5">
        <f>SUM($F$1:F5)</f>
        <v>8</v>
      </c>
    </row>
    <row r="6" spans="1:9" x14ac:dyDescent="0.35">
      <c r="A6" s="8">
        <f t="shared" si="0"/>
        <v>8.6805555555555518E-4</v>
      </c>
      <c r="B6">
        <v>1</v>
      </c>
      <c r="C6">
        <f>SUM($B$1:B6)</f>
        <v>9</v>
      </c>
      <c r="E6" s="8">
        <f t="shared" si="1"/>
        <v>8.6805555555555518E-4</v>
      </c>
      <c r="F6">
        <v>1</v>
      </c>
      <c r="G6">
        <f>SUM($F$1:F6)</f>
        <v>9</v>
      </c>
    </row>
    <row r="7" spans="1:9" x14ac:dyDescent="0.35">
      <c r="A7" s="8">
        <f t="shared" si="0"/>
        <v>1.0416666666666662E-3</v>
      </c>
      <c r="B7">
        <v>1</v>
      </c>
      <c r="C7">
        <f>SUM($B$1:B7)</f>
        <v>10</v>
      </c>
      <c r="E7" s="8">
        <f t="shared" si="1"/>
        <v>1.0416666666666662E-3</v>
      </c>
      <c r="F7">
        <v>1</v>
      </c>
      <c r="G7">
        <f>SUM($F$1:F7)</f>
        <v>10</v>
      </c>
    </row>
    <row r="8" spans="1:9" x14ac:dyDescent="0.35">
      <c r="A8" s="8">
        <f t="shared" si="0"/>
        <v>1.2152777777777771E-3</v>
      </c>
      <c r="B8">
        <v>1</v>
      </c>
      <c r="C8">
        <f>SUM($B$1:B8)</f>
        <v>11</v>
      </c>
      <c r="E8" s="8">
        <f t="shared" si="1"/>
        <v>1.2152777777777771E-3</v>
      </c>
      <c r="F8">
        <v>1</v>
      </c>
      <c r="G8">
        <f>SUM($F$1:F8)</f>
        <v>11</v>
      </c>
    </row>
    <row r="9" spans="1:9" x14ac:dyDescent="0.35">
      <c r="A9" s="8">
        <f t="shared" si="0"/>
        <v>1.3888888888888881E-3</v>
      </c>
      <c r="B9">
        <v>1</v>
      </c>
      <c r="C9">
        <f>SUM($B$1:B9)</f>
        <v>12</v>
      </c>
      <c r="E9" s="8">
        <f t="shared" si="1"/>
        <v>1.3888888888888881E-3</v>
      </c>
      <c r="F9">
        <v>1</v>
      </c>
      <c r="G9">
        <f>SUM($F$1:F9)</f>
        <v>12</v>
      </c>
    </row>
    <row r="10" spans="1:9" x14ac:dyDescent="0.35">
      <c r="A10" s="8">
        <f t="shared" si="0"/>
        <v>1.562499999999999E-3</v>
      </c>
      <c r="B10">
        <v>1</v>
      </c>
      <c r="C10">
        <f>SUM($B$1:B10)</f>
        <v>13</v>
      </c>
      <c r="E10" s="8">
        <f t="shared" si="1"/>
        <v>1.562499999999999E-3</v>
      </c>
      <c r="F10">
        <v>1</v>
      </c>
      <c r="G10">
        <f>SUM($F$1:F10)</f>
        <v>13</v>
      </c>
    </row>
    <row r="11" spans="1:9" x14ac:dyDescent="0.35">
      <c r="A11" s="8">
        <f t="shared" si="0"/>
        <v>1.7361111111111099E-3</v>
      </c>
      <c r="B11">
        <v>1</v>
      </c>
      <c r="C11">
        <f>SUM($B$1:B11)</f>
        <v>14</v>
      </c>
      <c r="E11" s="8">
        <f t="shared" si="1"/>
        <v>1.7361111111111099E-3</v>
      </c>
      <c r="F11">
        <v>1</v>
      </c>
      <c r="G11">
        <f>SUM($F$1:F11)</f>
        <v>14</v>
      </c>
    </row>
    <row r="12" spans="1:9" x14ac:dyDescent="0.35">
      <c r="A12" s="8">
        <f t="shared" si="0"/>
        <v>1.9097222222222209E-3</v>
      </c>
      <c r="B12">
        <v>1</v>
      </c>
      <c r="C12">
        <f>SUM($B$1:B12)</f>
        <v>15</v>
      </c>
      <c r="E12" s="8">
        <f t="shared" si="1"/>
        <v>1.9097222222222209E-3</v>
      </c>
      <c r="F12">
        <v>1</v>
      </c>
      <c r="G12">
        <f>SUM($F$1:F12)</f>
        <v>15</v>
      </c>
    </row>
    <row r="13" spans="1:9" x14ac:dyDescent="0.35">
      <c r="A13" s="8">
        <f t="shared" si="0"/>
        <v>2.083333333333332E-3</v>
      </c>
      <c r="B13">
        <v>1</v>
      </c>
      <c r="C13">
        <f>SUM($B$1:B13)</f>
        <v>16</v>
      </c>
      <c r="E13" s="8">
        <f t="shared" si="1"/>
        <v>2.083333333333332E-3</v>
      </c>
      <c r="F13">
        <v>1</v>
      </c>
      <c r="G13">
        <f>SUM($F$1:F13)</f>
        <v>16</v>
      </c>
    </row>
    <row r="14" spans="1:9" x14ac:dyDescent="0.35">
      <c r="A14" s="8">
        <f t="shared" si="0"/>
        <v>2.2569444444444429E-3</v>
      </c>
      <c r="B14">
        <v>1</v>
      </c>
      <c r="C14">
        <f>SUM($B$1:B14)</f>
        <v>17</v>
      </c>
      <c r="E14" s="8">
        <f t="shared" si="1"/>
        <v>2.2569444444444429E-3</v>
      </c>
      <c r="F14">
        <v>1</v>
      </c>
      <c r="G14">
        <f>SUM($F$1:F14)</f>
        <v>17</v>
      </c>
    </row>
    <row r="15" spans="1:9" x14ac:dyDescent="0.35">
      <c r="A15" s="8">
        <f>A14+0.000173611111111111</f>
        <v>2.4305555555555539E-3</v>
      </c>
      <c r="B15">
        <v>1</v>
      </c>
      <c r="C15">
        <f>SUM($B$1:B15)</f>
        <v>18</v>
      </c>
      <c r="E15" s="8">
        <f t="shared" si="1"/>
        <v>2.4305555555555539E-3</v>
      </c>
      <c r="F15">
        <v>1</v>
      </c>
      <c r="G15">
        <f>SUM($F$1:F15)</f>
        <v>18</v>
      </c>
    </row>
    <row r="16" spans="1:9" x14ac:dyDescent="0.35">
      <c r="A16" s="8">
        <f t="shared" ref="A16:A18" si="2">A15+0.000173611111111111</f>
        <v>2.6041666666666648E-3</v>
      </c>
      <c r="C16">
        <f>SUM($B$1:B16)</f>
        <v>18</v>
      </c>
      <c r="E16" s="8">
        <f t="shared" ref="E16:E20" si="3">E15+0.000173611111111111</f>
        <v>2.6041666666666648E-3</v>
      </c>
      <c r="F16">
        <v>1</v>
      </c>
      <c r="G16">
        <f>SUM($F$1:F16)</f>
        <v>19</v>
      </c>
    </row>
    <row r="17" spans="1:7" x14ac:dyDescent="0.35">
      <c r="A17" s="8">
        <f t="shared" si="2"/>
        <v>2.7777777777777757E-3</v>
      </c>
      <c r="C17">
        <f>SUM($B$1:B17)</f>
        <v>18</v>
      </c>
      <c r="E17" s="8">
        <f t="shared" si="3"/>
        <v>2.7777777777777757E-3</v>
      </c>
      <c r="F17">
        <v>1</v>
      </c>
      <c r="G17">
        <f>SUM($F$1:F17)</f>
        <v>20</v>
      </c>
    </row>
    <row r="18" spans="1:7" x14ac:dyDescent="0.35">
      <c r="A18" s="8">
        <f t="shared" si="2"/>
        <v>2.9513888888888866E-3</v>
      </c>
      <c r="B18">
        <v>1</v>
      </c>
      <c r="C18">
        <f>SUM($B$1:B18)</f>
        <v>19</v>
      </c>
      <c r="E18" s="8">
        <f t="shared" si="3"/>
        <v>2.9513888888888866E-3</v>
      </c>
      <c r="G18">
        <f>SUM($F$1:F18)</f>
        <v>20</v>
      </c>
    </row>
    <row r="19" spans="1:7" x14ac:dyDescent="0.35">
      <c r="A19" s="8">
        <f t="shared" ref="A19" si="4">A18+0.000173611111111111</f>
        <v>3.1249999999999976E-3</v>
      </c>
      <c r="B19">
        <v>1</v>
      </c>
      <c r="C19">
        <f>SUM($B$1:B19)</f>
        <v>20</v>
      </c>
      <c r="E19" s="8">
        <f t="shared" si="3"/>
        <v>3.1249999999999976E-3</v>
      </c>
      <c r="G19">
        <f>SUM($F$1:F19)</f>
        <v>20</v>
      </c>
    </row>
    <row r="20" spans="1:7" x14ac:dyDescent="0.35">
      <c r="A20" s="8">
        <f t="shared" ref="A20" si="5">A19+0.000173611111111111</f>
        <v>3.2986111111111085E-3</v>
      </c>
      <c r="B20">
        <v>2</v>
      </c>
      <c r="C20">
        <f>SUM($B$1:B20)</f>
        <v>22</v>
      </c>
      <c r="E20" s="8">
        <f t="shared" si="3"/>
        <v>3.2986111111111085E-3</v>
      </c>
      <c r="F20">
        <v>1</v>
      </c>
      <c r="G20">
        <f>SUM($F$1:F20)</f>
        <v>21</v>
      </c>
    </row>
    <row r="21" spans="1:7" x14ac:dyDescent="0.35">
      <c r="A21" s="8">
        <f t="shared" ref="A21:A55" si="6">A20+0.000173611111111111</f>
        <v>3.4722222222222194E-3</v>
      </c>
      <c r="B21">
        <v>2</v>
      </c>
      <c r="C21">
        <f>SUM($B$1:B21)</f>
        <v>24</v>
      </c>
      <c r="E21" s="8">
        <f t="shared" ref="E21:E22" si="7">E20+0.000173611111111111</f>
        <v>3.4722222222222194E-3</v>
      </c>
      <c r="F21">
        <v>1</v>
      </c>
      <c r="G21">
        <f>SUM($F$1:F21)</f>
        <v>22</v>
      </c>
    </row>
    <row r="22" spans="1:7" x14ac:dyDescent="0.35">
      <c r="A22" s="8">
        <f t="shared" si="6"/>
        <v>3.6458333333333304E-3</v>
      </c>
      <c r="B22">
        <v>2</v>
      </c>
      <c r="C22">
        <f>SUM($B$1:B22)</f>
        <v>26</v>
      </c>
      <c r="E22" s="8">
        <f t="shared" si="7"/>
        <v>3.6458333333333304E-3</v>
      </c>
      <c r="F22">
        <v>2</v>
      </c>
      <c r="G22">
        <f>SUM($F$1:F22)</f>
        <v>24</v>
      </c>
    </row>
    <row r="23" spans="1:7" x14ac:dyDescent="0.35">
      <c r="A23" s="8">
        <f t="shared" si="6"/>
        <v>3.8194444444444413E-3</v>
      </c>
      <c r="B23">
        <v>2</v>
      </c>
      <c r="C23">
        <f>SUM($B$1:B23)</f>
        <v>28</v>
      </c>
      <c r="E23" s="8">
        <f t="shared" ref="E23:E55" si="8">E22+0.000173611111111111</f>
        <v>3.8194444444444413E-3</v>
      </c>
      <c r="F23">
        <v>2</v>
      </c>
      <c r="G23">
        <f>SUM($F$1:F23)</f>
        <v>26</v>
      </c>
    </row>
    <row r="24" spans="1:7" x14ac:dyDescent="0.35">
      <c r="A24" s="8">
        <f t="shared" si="6"/>
        <v>3.9930555555555526E-3</v>
      </c>
      <c r="B24">
        <v>2</v>
      </c>
      <c r="C24">
        <f>SUM($B$1:B24)</f>
        <v>30</v>
      </c>
      <c r="E24" s="8">
        <f t="shared" si="8"/>
        <v>3.9930555555555526E-3</v>
      </c>
      <c r="F24">
        <v>2</v>
      </c>
      <c r="G24">
        <f>SUM($F$1:F24)</f>
        <v>28</v>
      </c>
    </row>
    <row r="25" spans="1:7" x14ac:dyDescent="0.35">
      <c r="A25" s="8">
        <f t="shared" si="6"/>
        <v>4.166666666666664E-3</v>
      </c>
      <c r="B25">
        <v>2</v>
      </c>
      <c r="C25">
        <f>SUM($B$1:B25)</f>
        <v>32</v>
      </c>
      <c r="E25" s="8">
        <f t="shared" si="8"/>
        <v>4.166666666666664E-3</v>
      </c>
      <c r="F25">
        <v>2</v>
      </c>
      <c r="G25">
        <f>SUM($F$1:F25)</f>
        <v>30</v>
      </c>
    </row>
    <row r="26" spans="1:7" x14ac:dyDescent="0.35">
      <c r="A26" s="8">
        <f t="shared" si="6"/>
        <v>4.3402777777777754E-3</v>
      </c>
      <c r="B26">
        <v>2</v>
      </c>
      <c r="C26">
        <f>SUM($B$1:B26)</f>
        <v>34</v>
      </c>
      <c r="E26" s="8">
        <f t="shared" si="8"/>
        <v>4.3402777777777754E-3</v>
      </c>
      <c r="F26">
        <v>2</v>
      </c>
      <c r="G26">
        <f>SUM($F$1:F26)</f>
        <v>32</v>
      </c>
    </row>
    <row r="27" spans="1:7" x14ac:dyDescent="0.35">
      <c r="A27" s="8">
        <f t="shared" si="6"/>
        <v>4.5138888888888867E-3</v>
      </c>
      <c r="B27">
        <v>2</v>
      </c>
      <c r="C27">
        <f>SUM($B$1:B27)</f>
        <v>36</v>
      </c>
      <c r="E27" s="8">
        <f t="shared" si="8"/>
        <v>4.5138888888888867E-3</v>
      </c>
      <c r="F27">
        <v>2</v>
      </c>
      <c r="G27">
        <f>SUM($F$1:F27)</f>
        <v>34</v>
      </c>
    </row>
    <row r="28" spans="1:7" x14ac:dyDescent="0.35">
      <c r="A28" s="8">
        <f t="shared" si="6"/>
        <v>4.6874999999999981E-3</v>
      </c>
      <c r="B28">
        <v>2</v>
      </c>
      <c r="C28">
        <f>SUM($B$1:B28)</f>
        <v>38</v>
      </c>
      <c r="E28" s="8">
        <f t="shared" si="8"/>
        <v>4.6874999999999981E-3</v>
      </c>
      <c r="F28">
        <v>2</v>
      </c>
      <c r="G28">
        <f>SUM($F$1:F28)</f>
        <v>36</v>
      </c>
    </row>
    <row r="29" spans="1:7" x14ac:dyDescent="0.35">
      <c r="A29" s="8">
        <f t="shared" si="6"/>
        <v>4.8611111111111095E-3</v>
      </c>
      <c r="B29">
        <v>2</v>
      </c>
      <c r="C29">
        <f>SUM($B$1:B29)</f>
        <v>40</v>
      </c>
      <c r="E29" s="8">
        <f t="shared" si="8"/>
        <v>4.8611111111111095E-3</v>
      </c>
      <c r="F29">
        <v>2</v>
      </c>
      <c r="G29">
        <f>SUM($F$1:F29)</f>
        <v>38</v>
      </c>
    </row>
    <row r="30" spans="1:7" x14ac:dyDescent="0.35">
      <c r="A30" s="8">
        <f t="shared" si="6"/>
        <v>5.0347222222222208E-3</v>
      </c>
      <c r="B30">
        <v>2</v>
      </c>
      <c r="C30">
        <f>SUM($B$1:B30)</f>
        <v>42</v>
      </c>
      <c r="E30" s="8">
        <f t="shared" si="8"/>
        <v>5.0347222222222208E-3</v>
      </c>
      <c r="F30">
        <v>2</v>
      </c>
      <c r="G30">
        <f>SUM($F$1:F30)</f>
        <v>40</v>
      </c>
    </row>
    <row r="31" spans="1:7" x14ac:dyDescent="0.35">
      <c r="A31" s="8">
        <f t="shared" si="6"/>
        <v>5.2083333333333322E-3</v>
      </c>
      <c r="B31">
        <v>2</v>
      </c>
      <c r="C31">
        <f>SUM($B$1:B31)</f>
        <v>44</v>
      </c>
      <c r="E31" s="8">
        <f t="shared" si="8"/>
        <v>5.2083333333333322E-3</v>
      </c>
      <c r="F31">
        <v>2</v>
      </c>
      <c r="G31">
        <f>SUM($F$1:F31)</f>
        <v>42</v>
      </c>
    </row>
    <row r="32" spans="1:7" x14ac:dyDescent="0.35">
      <c r="A32" s="8">
        <f t="shared" si="6"/>
        <v>5.3819444444444435E-3</v>
      </c>
      <c r="B32">
        <v>2</v>
      </c>
      <c r="C32">
        <f>SUM($B$1:B32)</f>
        <v>46</v>
      </c>
      <c r="E32" s="8">
        <f t="shared" si="8"/>
        <v>5.3819444444444435E-3</v>
      </c>
      <c r="F32">
        <v>2</v>
      </c>
      <c r="G32">
        <f>SUM($F$1:F32)</f>
        <v>44</v>
      </c>
    </row>
    <row r="33" spans="1:7" x14ac:dyDescent="0.35">
      <c r="A33" s="8">
        <f t="shared" si="6"/>
        <v>5.5555555555555549E-3</v>
      </c>
      <c r="B33">
        <v>2</v>
      </c>
      <c r="C33">
        <f>SUM($B$1:B33)</f>
        <v>48</v>
      </c>
      <c r="E33" s="8">
        <f t="shared" si="8"/>
        <v>5.5555555555555549E-3</v>
      </c>
      <c r="F33">
        <v>2</v>
      </c>
      <c r="G33">
        <f>SUM($F$1:F33)</f>
        <v>46</v>
      </c>
    </row>
    <row r="34" spans="1:7" x14ac:dyDescent="0.35">
      <c r="A34" s="8">
        <f t="shared" si="6"/>
        <v>5.7291666666666663E-3</v>
      </c>
      <c r="B34">
        <v>2</v>
      </c>
      <c r="C34">
        <f>SUM($B$1:B34)</f>
        <v>50</v>
      </c>
      <c r="E34" s="8">
        <f t="shared" si="8"/>
        <v>5.7291666666666663E-3</v>
      </c>
      <c r="F34">
        <v>2</v>
      </c>
      <c r="G34">
        <f>SUM($F$1:F34)</f>
        <v>48</v>
      </c>
    </row>
    <row r="35" spans="1:7" x14ac:dyDescent="0.35">
      <c r="A35" s="8">
        <f t="shared" si="6"/>
        <v>5.9027777777777776E-3</v>
      </c>
      <c r="B35">
        <v>2</v>
      </c>
      <c r="C35">
        <f>SUM($B$1:B35)</f>
        <v>52</v>
      </c>
      <c r="E35" s="8">
        <f t="shared" si="8"/>
        <v>5.9027777777777776E-3</v>
      </c>
      <c r="F35">
        <v>2</v>
      </c>
      <c r="G35">
        <f>SUM($F$1:F35)</f>
        <v>50</v>
      </c>
    </row>
    <row r="36" spans="1:7" x14ac:dyDescent="0.35">
      <c r="A36" s="8">
        <f t="shared" si="6"/>
        <v>6.076388888888889E-3</v>
      </c>
      <c r="B36">
        <v>2</v>
      </c>
      <c r="C36">
        <f>SUM($B$1:B36)</f>
        <v>54</v>
      </c>
      <c r="E36" s="8">
        <f t="shared" si="8"/>
        <v>6.076388888888889E-3</v>
      </c>
      <c r="F36">
        <v>2</v>
      </c>
      <c r="G36">
        <f>SUM($F$1:F36)</f>
        <v>52</v>
      </c>
    </row>
    <row r="37" spans="1:7" x14ac:dyDescent="0.35">
      <c r="A37" s="8">
        <f t="shared" si="6"/>
        <v>6.2500000000000003E-3</v>
      </c>
      <c r="B37">
        <v>2</v>
      </c>
      <c r="C37">
        <f>SUM($B$1:B37)</f>
        <v>56</v>
      </c>
      <c r="E37" s="8">
        <f t="shared" si="8"/>
        <v>6.2500000000000003E-3</v>
      </c>
      <c r="F37">
        <v>2</v>
      </c>
      <c r="G37">
        <f>SUM($F$1:F37)</f>
        <v>54</v>
      </c>
    </row>
    <row r="38" spans="1:7" x14ac:dyDescent="0.35">
      <c r="A38" s="8">
        <f t="shared" si="6"/>
        <v>6.4236111111111117E-3</v>
      </c>
      <c r="B38">
        <v>2</v>
      </c>
      <c r="C38">
        <f>SUM($B$1:B38)</f>
        <v>58</v>
      </c>
      <c r="E38" s="8">
        <f t="shared" si="8"/>
        <v>6.4236111111111117E-3</v>
      </c>
      <c r="F38">
        <v>2</v>
      </c>
      <c r="G38">
        <f>SUM($F$1:F38)</f>
        <v>56</v>
      </c>
    </row>
    <row r="39" spans="1:7" x14ac:dyDescent="0.35">
      <c r="A39" s="8">
        <f t="shared" si="6"/>
        <v>6.5972222222222231E-3</v>
      </c>
      <c r="B39">
        <v>2</v>
      </c>
      <c r="C39">
        <f>SUM($B$1:B39)</f>
        <v>60</v>
      </c>
      <c r="E39" s="8">
        <f t="shared" si="8"/>
        <v>6.5972222222222231E-3</v>
      </c>
      <c r="F39">
        <v>2</v>
      </c>
      <c r="G39">
        <f>SUM($F$1:F39)</f>
        <v>58</v>
      </c>
    </row>
    <row r="40" spans="1:7" x14ac:dyDescent="0.35">
      <c r="A40" s="8">
        <f t="shared" si="6"/>
        <v>6.7708333333333344E-3</v>
      </c>
      <c r="B40">
        <v>2</v>
      </c>
      <c r="C40">
        <f>SUM($B$1:B40)</f>
        <v>62</v>
      </c>
      <c r="E40" s="8">
        <f t="shared" si="8"/>
        <v>6.7708333333333344E-3</v>
      </c>
      <c r="F40">
        <v>2</v>
      </c>
      <c r="G40">
        <f>SUM($F$1:F40)</f>
        <v>60</v>
      </c>
    </row>
    <row r="41" spans="1:7" x14ac:dyDescent="0.35">
      <c r="A41" s="8">
        <f t="shared" si="6"/>
        <v>6.9444444444444458E-3</v>
      </c>
      <c r="B41">
        <v>2</v>
      </c>
      <c r="C41">
        <f>SUM($B$1:B41)</f>
        <v>64</v>
      </c>
      <c r="E41" s="8">
        <f t="shared" si="8"/>
        <v>6.9444444444444458E-3</v>
      </c>
      <c r="F41">
        <v>2</v>
      </c>
      <c r="G41">
        <f>SUM($F$1:F41)</f>
        <v>62</v>
      </c>
    </row>
    <row r="42" spans="1:7" x14ac:dyDescent="0.35">
      <c r="A42" s="8">
        <f t="shared" si="6"/>
        <v>7.1180555555555572E-3</v>
      </c>
      <c r="B42">
        <v>2</v>
      </c>
      <c r="C42">
        <f>SUM($B$1:B42)</f>
        <v>66</v>
      </c>
      <c r="E42" s="8">
        <f t="shared" si="8"/>
        <v>7.1180555555555572E-3</v>
      </c>
      <c r="F42">
        <v>2</v>
      </c>
      <c r="G42">
        <f>SUM($F$1:F42)</f>
        <v>64</v>
      </c>
    </row>
    <row r="43" spans="1:7" x14ac:dyDescent="0.35">
      <c r="A43" s="8">
        <f t="shared" si="6"/>
        <v>7.2916666666666685E-3</v>
      </c>
      <c r="B43">
        <v>2</v>
      </c>
      <c r="C43">
        <f>SUM($B$1:B43)</f>
        <v>68</v>
      </c>
      <c r="E43" s="8">
        <f t="shared" si="8"/>
        <v>7.2916666666666685E-3</v>
      </c>
      <c r="F43">
        <v>2</v>
      </c>
      <c r="G43">
        <f>SUM($F$1:F43)</f>
        <v>66</v>
      </c>
    </row>
    <row r="44" spans="1:7" x14ac:dyDescent="0.35">
      <c r="A44" s="8">
        <f t="shared" si="6"/>
        <v>7.4652777777777799E-3</v>
      </c>
      <c r="B44">
        <v>2</v>
      </c>
      <c r="C44">
        <f>SUM($B$1:B44)</f>
        <v>70</v>
      </c>
      <c r="E44" s="8">
        <f t="shared" si="8"/>
        <v>7.4652777777777799E-3</v>
      </c>
      <c r="F44">
        <v>2</v>
      </c>
      <c r="G44">
        <f>SUM($F$1:F44)</f>
        <v>68</v>
      </c>
    </row>
    <row r="45" spans="1:7" x14ac:dyDescent="0.35">
      <c r="A45" s="8">
        <f t="shared" si="6"/>
        <v>7.6388888888888912E-3</v>
      </c>
      <c r="B45">
        <v>2</v>
      </c>
      <c r="C45">
        <f>SUM($B$1:B45)</f>
        <v>72</v>
      </c>
      <c r="E45" s="8">
        <f t="shared" si="8"/>
        <v>7.6388888888888912E-3</v>
      </c>
      <c r="F45">
        <v>2</v>
      </c>
      <c r="G45">
        <f>SUM($F$1:F45)</f>
        <v>70</v>
      </c>
    </row>
    <row r="46" spans="1:7" x14ac:dyDescent="0.35">
      <c r="A46" s="8">
        <f t="shared" si="6"/>
        <v>7.8125000000000017E-3</v>
      </c>
      <c r="B46">
        <v>2</v>
      </c>
      <c r="C46">
        <f>SUM($B$1:B46)</f>
        <v>74</v>
      </c>
      <c r="E46" s="8">
        <f t="shared" si="8"/>
        <v>7.8125000000000017E-3</v>
      </c>
      <c r="F46">
        <v>2</v>
      </c>
      <c r="G46">
        <f>SUM($F$1:F46)</f>
        <v>72</v>
      </c>
    </row>
    <row r="47" spans="1:7" x14ac:dyDescent="0.35">
      <c r="A47" s="8">
        <f t="shared" si="6"/>
        <v>7.9861111111111122E-3</v>
      </c>
      <c r="B47">
        <v>2</v>
      </c>
      <c r="C47">
        <f>SUM($B$1:B47)</f>
        <v>76</v>
      </c>
      <c r="E47" s="8">
        <f t="shared" si="8"/>
        <v>7.9861111111111122E-3</v>
      </c>
      <c r="F47">
        <v>2</v>
      </c>
      <c r="G47">
        <f>SUM($F$1:F47)</f>
        <v>74</v>
      </c>
    </row>
    <row r="48" spans="1:7" x14ac:dyDescent="0.35">
      <c r="A48" s="8">
        <f t="shared" si="6"/>
        <v>8.1597222222222227E-3</v>
      </c>
      <c r="B48">
        <v>2</v>
      </c>
      <c r="C48">
        <f>SUM($B$1:B48)</f>
        <v>78</v>
      </c>
      <c r="E48" s="8">
        <f t="shared" si="8"/>
        <v>8.1597222222222227E-3</v>
      </c>
      <c r="F48">
        <v>2</v>
      </c>
      <c r="G48">
        <f>SUM($F$1:F48)</f>
        <v>76</v>
      </c>
    </row>
    <row r="49" spans="1:7" x14ac:dyDescent="0.35">
      <c r="A49" s="8">
        <f t="shared" si="6"/>
        <v>8.3333333333333332E-3</v>
      </c>
      <c r="B49">
        <v>2</v>
      </c>
      <c r="C49">
        <f>SUM($B$1:B49)</f>
        <v>80</v>
      </c>
      <c r="E49" s="8">
        <f t="shared" si="8"/>
        <v>8.3333333333333332E-3</v>
      </c>
      <c r="F49">
        <v>2</v>
      </c>
      <c r="G49">
        <f>SUM($F$1:F49)</f>
        <v>78</v>
      </c>
    </row>
    <row r="50" spans="1:7" x14ac:dyDescent="0.35">
      <c r="A50" s="8">
        <f t="shared" si="6"/>
        <v>8.5069444444444437E-3</v>
      </c>
      <c r="B50">
        <v>2</v>
      </c>
      <c r="C50">
        <f>SUM($B$1:B50)</f>
        <v>82</v>
      </c>
      <c r="E50" s="8">
        <f t="shared" si="8"/>
        <v>8.5069444444444437E-3</v>
      </c>
      <c r="F50">
        <v>2</v>
      </c>
      <c r="G50">
        <f>SUM($F$1:F50)</f>
        <v>80</v>
      </c>
    </row>
    <row r="51" spans="1:7" x14ac:dyDescent="0.35">
      <c r="A51" s="8">
        <f t="shared" si="6"/>
        <v>8.6805555555555542E-3</v>
      </c>
      <c r="B51">
        <v>2</v>
      </c>
      <c r="C51">
        <f>SUM($B$1:B51)</f>
        <v>84</v>
      </c>
      <c r="E51" s="8">
        <f t="shared" si="8"/>
        <v>8.6805555555555542E-3</v>
      </c>
      <c r="F51">
        <v>2</v>
      </c>
      <c r="G51">
        <f>SUM($F$1:F51)</f>
        <v>82</v>
      </c>
    </row>
    <row r="52" spans="1:7" x14ac:dyDescent="0.35">
      <c r="A52" s="8">
        <f t="shared" si="6"/>
        <v>8.8541666666666647E-3</v>
      </c>
      <c r="B52">
        <v>2</v>
      </c>
      <c r="C52">
        <f>SUM($B$1:B52)</f>
        <v>86</v>
      </c>
      <c r="E52" s="8">
        <f t="shared" si="8"/>
        <v>8.8541666666666647E-3</v>
      </c>
      <c r="F52">
        <v>2</v>
      </c>
      <c r="G52">
        <f>SUM($F$1:F52)</f>
        <v>84</v>
      </c>
    </row>
    <row r="53" spans="1:7" x14ac:dyDescent="0.35">
      <c r="A53" s="8">
        <f t="shared" si="6"/>
        <v>9.0277777777777752E-3</v>
      </c>
      <c r="B53">
        <v>2</v>
      </c>
      <c r="C53">
        <f>SUM($B$1:B53)</f>
        <v>88</v>
      </c>
      <c r="E53" s="8">
        <f t="shared" si="8"/>
        <v>9.0277777777777752E-3</v>
      </c>
      <c r="F53">
        <v>2</v>
      </c>
      <c r="G53">
        <f>SUM($F$1:F53)</f>
        <v>86</v>
      </c>
    </row>
    <row r="54" spans="1:7" x14ac:dyDescent="0.35">
      <c r="A54" s="8">
        <f t="shared" si="6"/>
        <v>9.2013888888888857E-3</v>
      </c>
      <c r="B54">
        <v>2</v>
      </c>
      <c r="C54">
        <f>SUM($B$1:B54)</f>
        <v>90</v>
      </c>
      <c r="E54" s="8">
        <f t="shared" si="8"/>
        <v>9.2013888888888857E-3</v>
      </c>
      <c r="F54">
        <v>2</v>
      </c>
      <c r="G54">
        <f>SUM($F$1:F54)</f>
        <v>88</v>
      </c>
    </row>
    <row r="55" spans="1:7" x14ac:dyDescent="0.35">
      <c r="A55" s="8">
        <f t="shared" si="6"/>
        <v>9.3749999999999962E-3</v>
      </c>
      <c r="B55">
        <v>2</v>
      </c>
      <c r="C55">
        <f>SUM($B$1:B55)</f>
        <v>92</v>
      </c>
      <c r="E55" s="8">
        <f t="shared" si="8"/>
        <v>9.3749999999999962E-3</v>
      </c>
      <c r="F55">
        <v>2</v>
      </c>
      <c r="G55">
        <f>SUM($F$1:F55)</f>
        <v>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6A2F-77F5-48D1-A508-4FF7CFEBCBC0}">
  <sheetPr codeName="Sheet15"/>
  <dimension ref="A1:J13"/>
  <sheetViews>
    <sheetView workbookViewId="0">
      <selection sqref="A1:C1"/>
    </sheetView>
  </sheetViews>
  <sheetFormatPr defaultColWidth="15.54296875" defaultRowHeight="14.5" x14ac:dyDescent="0.35"/>
  <cols>
    <col min="1" max="1" width="7" style="10" bestFit="1" customWidth="1"/>
    <col min="2" max="2" width="11.7265625" style="10" bestFit="1" customWidth="1"/>
    <col min="3" max="3" width="9.81640625" style="4" bestFit="1" customWidth="1"/>
    <col min="4" max="4" width="9.81640625" style="10" bestFit="1" customWidth="1"/>
    <col min="5" max="5" width="12.54296875" style="10" bestFit="1" customWidth="1"/>
    <col min="6" max="6" width="8" style="10" bestFit="1" customWidth="1"/>
    <col min="7" max="7" width="9.54296875" style="10" bestFit="1" customWidth="1"/>
    <col min="8" max="8" width="8" style="10" bestFit="1" customWidth="1"/>
    <col min="9" max="9" width="10.453125" style="10" bestFit="1" customWidth="1"/>
    <col min="10" max="10" width="10.7265625" style="10" bestFit="1" customWidth="1"/>
  </cols>
  <sheetData>
    <row r="1" spans="1:10" x14ac:dyDescent="0.35">
      <c r="A1" s="242" t="s">
        <v>440</v>
      </c>
      <c r="B1" s="242"/>
      <c r="C1" s="242"/>
      <c r="D1" s="243" t="s">
        <v>441</v>
      </c>
      <c r="E1" s="243"/>
      <c r="F1" s="243"/>
      <c r="G1" s="243"/>
      <c r="H1" s="244" t="s">
        <v>442</v>
      </c>
      <c r="I1" s="244"/>
      <c r="J1" s="148" t="s">
        <v>443</v>
      </c>
    </row>
    <row r="2" spans="1:10" x14ac:dyDescent="0.35">
      <c r="A2" s="10" t="s">
        <v>444</v>
      </c>
      <c r="B2" s="10" t="s">
        <v>445</v>
      </c>
      <c r="C2" s="4" t="s">
        <v>446</v>
      </c>
      <c r="D2" s="10" t="s">
        <v>447</v>
      </c>
      <c r="E2" s="10" t="s">
        <v>448</v>
      </c>
      <c r="F2" s="10" t="s">
        <v>313</v>
      </c>
      <c r="G2" s="10" t="s">
        <v>449</v>
      </c>
      <c r="H2" s="10" t="s">
        <v>450</v>
      </c>
      <c r="I2" s="10" t="s">
        <v>451</v>
      </c>
      <c r="J2" s="10" t="s">
        <v>449</v>
      </c>
    </row>
    <row r="3" spans="1:10" x14ac:dyDescent="0.35">
      <c r="A3" s="10">
        <v>1</v>
      </c>
      <c r="B3" s="10">
        <v>150</v>
      </c>
      <c r="C3" s="4">
        <f t="shared" ref="C3:C12" si="0">1-(B4/B3)</f>
        <v>0.37333333333333329</v>
      </c>
      <c r="D3" s="10">
        <f t="shared" ref="D3:D8" si="1">10-A3</f>
        <v>9</v>
      </c>
      <c r="E3" s="10">
        <v>0.85</v>
      </c>
      <c r="F3" s="10">
        <v>150</v>
      </c>
      <c r="G3" s="10">
        <f>D3*E3*F3</f>
        <v>1147.5</v>
      </c>
      <c r="H3" s="10">
        <f>F3-(B3)</f>
        <v>0</v>
      </c>
      <c r="I3" s="10">
        <f t="shared" ref="I3:I12" si="2">A3*E3*H3</f>
        <v>0</v>
      </c>
      <c r="J3" s="10">
        <f t="shared" ref="J3:J12" si="3">G3+I3</f>
        <v>1147.5</v>
      </c>
    </row>
    <row r="4" spans="1:10" x14ac:dyDescent="0.35">
      <c r="A4" s="10">
        <v>2</v>
      </c>
      <c r="B4" s="10">
        <v>94</v>
      </c>
      <c r="C4" s="4">
        <f t="shared" si="0"/>
        <v>0.15957446808510634</v>
      </c>
      <c r="D4" s="10">
        <f t="shared" si="1"/>
        <v>8</v>
      </c>
      <c r="E4" s="10">
        <v>0.85</v>
      </c>
      <c r="F4" s="10">
        <v>150</v>
      </c>
      <c r="G4" s="10">
        <f t="shared" ref="G4:G12" si="4">D4*E4*F4</f>
        <v>1020</v>
      </c>
      <c r="H4" s="10">
        <f t="shared" ref="H4:H12" si="5">F4-B4-10</f>
        <v>46</v>
      </c>
      <c r="I4" s="10">
        <f t="shared" si="2"/>
        <v>78.2</v>
      </c>
      <c r="J4" s="10">
        <f t="shared" si="3"/>
        <v>1098.2</v>
      </c>
    </row>
    <row r="5" spans="1:10" x14ac:dyDescent="0.35">
      <c r="A5" s="10">
        <v>3</v>
      </c>
      <c r="B5" s="10">
        <v>79</v>
      </c>
      <c r="C5" s="4">
        <f t="shared" si="0"/>
        <v>0.13924050632911389</v>
      </c>
      <c r="D5" s="10">
        <f t="shared" si="1"/>
        <v>7</v>
      </c>
      <c r="E5" s="10">
        <v>0.85</v>
      </c>
      <c r="F5" s="10">
        <v>150</v>
      </c>
      <c r="G5" s="10">
        <f t="shared" si="4"/>
        <v>892.5</v>
      </c>
      <c r="H5" s="10">
        <f t="shared" si="5"/>
        <v>61</v>
      </c>
      <c r="I5" s="10">
        <f t="shared" si="2"/>
        <v>155.54999999999998</v>
      </c>
      <c r="J5" s="10">
        <f t="shared" si="3"/>
        <v>1048.05</v>
      </c>
    </row>
    <row r="6" spans="1:10" x14ac:dyDescent="0.35">
      <c r="A6" s="10">
        <v>4</v>
      </c>
      <c r="B6" s="10">
        <v>68</v>
      </c>
      <c r="C6" s="4">
        <f t="shared" si="0"/>
        <v>0.11764705882352944</v>
      </c>
      <c r="D6" s="10">
        <f t="shared" si="1"/>
        <v>6</v>
      </c>
      <c r="E6" s="10">
        <v>0.85</v>
      </c>
      <c r="F6" s="10">
        <v>150</v>
      </c>
      <c r="G6" s="10">
        <f t="shared" si="4"/>
        <v>765</v>
      </c>
      <c r="H6" s="10">
        <f t="shared" si="5"/>
        <v>72</v>
      </c>
      <c r="I6" s="10">
        <f t="shared" si="2"/>
        <v>244.79999999999998</v>
      </c>
      <c r="J6" s="10">
        <f t="shared" si="3"/>
        <v>1009.8</v>
      </c>
    </row>
    <row r="7" spans="1:10" x14ac:dyDescent="0.35">
      <c r="A7" s="10">
        <v>5</v>
      </c>
      <c r="B7" s="10">
        <v>60</v>
      </c>
      <c r="C7" s="4">
        <f t="shared" si="0"/>
        <v>9.9999999999999978E-2</v>
      </c>
      <c r="D7" s="10">
        <f t="shared" si="1"/>
        <v>5</v>
      </c>
      <c r="E7" s="10">
        <v>0.85</v>
      </c>
      <c r="F7" s="10">
        <v>150</v>
      </c>
      <c r="G7" s="10">
        <f t="shared" si="4"/>
        <v>637.5</v>
      </c>
      <c r="H7" s="10">
        <f t="shared" si="5"/>
        <v>80</v>
      </c>
      <c r="I7" s="10">
        <f t="shared" si="2"/>
        <v>340</v>
      </c>
      <c r="J7" s="10">
        <f t="shared" si="3"/>
        <v>977.5</v>
      </c>
    </row>
    <row r="8" spans="1:10" x14ac:dyDescent="0.35">
      <c r="A8" s="12">
        <v>6</v>
      </c>
      <c r="B8" s="10">
        <v>54</v>
      </c>
      <c r="C8" s="4">
        <f t="shared" si="0"/>
        <v>0.11111111111111116</v>
      </c>
      <c r="D8" s="10">
        <f t="shared" si="1"/>
        <v>4</v>
      </c>
      <c r="E8" s="10">
        <v>0.85</v>
      </c>
      <c r="F8" s="10">
        <v>150</v>
      </c>
      <c r="G8" s="10">
        <f t="shared" si="4"/>
        <v>510</v>
      </c>
      <c r="H8" s="10">
        <f t="shared" si="5"/>
        <v>86</v>
      </c>
      <c r="I8" s="10">
        <f t="shared" si="2"/>
        <v>438.59999999999997</v>
      </c>
      <c r="J8" s="12">
        <f t="shared" si="3"/>
        <v>948.59999999999991</v>
      </c>
    </row>
    <row r="9" spans="1:10" x14ac:dyDescent="0.35">
      <c r="A9" s="10">
        <v>7</v>
      </c>
      <c r="B9" s="10">
        <v>48</v>
      </c>
      <c r="C9" s="4">
        <f t="shared" si="0"/>
        <v>8.333333333333337E-2</v>
      </c>
      <c r="D9" s="10">
        <f t="shared" ref="D9:D12" si="6">10-A9</f>
        <v>3</v>
      </c>
      <c r="E9" s="10">
        <v>0.85</v>
      </c>
      <c r="F9" s="10">
        <v>150</v>
      </c>
      <c r="G9" s="10">
        <f t="shared" si="4"/>
        <v>382.5</v>
      </c>
      <c r="H9" s="10">
        <f t="shared" si="5"/>
        <v>92</v>
      </c>
      <c r="I9" s="10">
        <f t="shared" si="2"/>
        <v>547.4</v>
      </c>
      <c r="J9" s="10">
        <f t="shared" si="3"/>
        <v>929.9</v>
      </c>
    </row>
    <row r="10" spans="1:10" x14ac:dyDescent="0.35">
      <c r="A10" s="10">
        <v>8</v>
      </c>
      <c r="B10" s="10">
        <v>44</v>
      </c>
      <c r="C10" s="4">
        <f t="shared" si="0"/>
        <v>9.0909090909090939E-2</v>
      </c>
      <c r="D10" s="10">
        <f t="shared" si="6"/>
        <v>2</v>
      </c>
      <c r="E10" s="10">
        <v>0.85</v>
      </c>
      <c r="F10" s="10">
        <v>150</v>
      </c>
      <c r="G10" s="10">
        <f t="shared" si="4"/>
        <v>255</v>
      </c>
      <c r="H10" s="10">
        <f t="shared" si="5"/>
        <v>96</v>
      </c>
      <c r="I10" s="10">
        <f t="shared" si="2"/>
        <v>652.79999999999995</v>
      </c>
      <c r="J10" s="10">
        <f t="shared" si="3"/>
        <v>907.8</v>
      </c>
    </row>
    <row r="11" spans="1:10" x14ac:dyDescent="0.35">
      <c r="A11" s="10">
        <v>9</v>
      </c>
      <c r="B11" s="10">
        <v>40</v>
      </c>
      <c r="C11" s="4">
        <f t="shared" si="0"/>
        <v>5.0000000000000044E-2</v>
      </c>
      <c r="D11" s="10">
        <f t="shared" si="6"/>
        <v>1</v>
      </c>
      <c r="E11" s="10">
        <v>0.85</v>
      </c>
      <c r="F11" s="10">
        <v>150</v>
      </c>
      <c r="G11" s="10">
        <f t="shared" si="4"/>
        <v>127.5</v>
      </c>
      <c r="H11" s="10">
        <f t="shared" si="5"/>
        <v>100</v>
      </c>
      <c r="I11" s="10">
        <f t="shared" si="2"/>
        <v>765</v>
      </c>
      <c r="J11" s="10">
        <f t="shared" si="3"/>
        <v>892.5</v>
      </c>
    </row>
    <row r="12" spans="1:10" x14ac:dyDescent="0.35">
      <c r="A12" s="10">
        <v>10</v>
      </c>
      <c r="B12" s="10">
        <v>38</v>
      </c>
      <c r="C12" s="4">
        <f t="shared" si="0"/>
        <v>7.8947368421052655E-2</v>
      </c>
      <c r="D12" s="10">
        <f t="shared" si="6"/>
        <v>0</v>
      </c>
      <c r="E12" s="10">
        <v>0.85</v>
      </c>
      <c r="F12" s="10">
        <v>150</v>
      </c>
      <c r="G12" s="10">
        <f t="shared" si="4"/>
        <v>0</v>
      </c>
      <c r="H12" s="10">
        <f t="shared" si="5"/>
        <v>102</v>
      </c>
      <c r="I12" s="10">
        <f t="shared" si="2"/>
        <v>867</v>
      </c>
      <c r="J12" s="10">
        <f t="shared" si="3"/>
        <v>867</v>
      </c>
    </row>
    <row r="13" spans="1:10" x14ac:dyDescent="0.35">
      <c r="A13" s="10">
        <v>11</v>
      </c>
      <c r="B13" s="10">
        <v>35</v>
      </c>
    </row>
  </sheetData>
  <mergeCells count="3">
    <mergeCell ref="A1:C1"/>
    <mergeCell ref="D1:G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Fundamentals</vt:lpstr>
      <vt:lpstr>Units</vt:lpstr>
      <vt:lpstr>Unit Tester</vt:lpstr>
      <vt:lpstr>Upgrades</vt:lpstr>
      <vt:lpstr>Zeus</vt:lpstr>
      <vt:lpstr>Hades</vt:lpstr>
      <vt:lpstr>Poseidon</vt:lpstr>
      <vt:lpstr>Set</vt:lpstr>
      <vt:lpstr>Isis</vt:lpstr>
      <vt:lpstr>Ra</vt:lpstr>
      <vt:lpstr>Thor</vt:lpstr>
      <vt:lpstr>Odin</vt:lpstr>
      <vt:lpstr>Loki</vt:lpstr>
      <vt:lpstr>Freyr</vt:lpstr>
      <vt:lpstr>Kronos</vt:lpstr>
      <vt:lpstr>Oranos</vt:lpstr>
      <vt:lpstr>Gaia</vt:lpstr>
      <vt:lpstr>Infantry Tier List</vt:lpstr>
      <vt:lpstr>Ranged Tier List</vt:lpstr>
      <vt:lpstr>Cav Tier List</vt:lpstr>
      <vt:lpstr>TC Timing</vt:lpstr>
      <vt:lpstr>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Naeem Panchbhaya</dc:creator>
  <cp:keywords/>
  <dc:description/>
  <cp:lastModifiedBy>Sebastien Goodchild</cp:lastModifiedBy>
  <cp:revision/>
  <dcterms:created xsi:type="dcterms:W3CDTF">2024-08-01T12:15:32Z</dcterms:created>
  <dcterms:modified xsi:type="dcterms:W3CDTF">2025-05-25T23:19:52Z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1033</vt:lpwstr>
  </property>
</Properties>
</file>